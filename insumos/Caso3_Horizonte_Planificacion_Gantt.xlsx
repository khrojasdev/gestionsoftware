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Instrucciones" sheetId="1" state="visible" r:id="rId3"/>
    <sheet name="Actividades" sheetId="2" state="visible" r:id="rId4"/>
    <sheet name="Planificación" sheetId="3" state="visible" r:id="rId5"/>
    <sheet name="Calendario" sheetId="4" state="visible" r:id="rId6"/>
    <sheet name="Cronograma" sheetId="5" state="visible" r:id="rId7"/>
    <sheet name="Carta Gantt" sheetId="6" state="visible" r:id="rId8"/>
    <sheet name="Gantt resumen" sheetId="7" state="visible" r:id="rId9"/>
  </sheets>
  <definedNames>
    <definedName function="false" hidden="false" name="Feriados" vbProcedure="false">Calendario!$B$13:$B$21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<sst xmlns="http://schemas.openxmlformats.org/spreadsheetml/2006/main" count="1491" uniqueCount="565">
  <si>
    <t xml:space="preserve">Template — Planificación desde EDT/WBS a Carta Gantt · Caso 3: Horizonte Conecta (Constructora Horizonte)</t>
  </si>
  <si>
    <t xml:space="preserve">OBJETIVO</t>
  </si>
  <si>
    <t xml:space="preserve">Transformar una EDT/WBS en actividades, estimarlas, aplicar restricciones de calendario y construir cronograma y Carta Gantt.</t>
  </si>
  <si>
    <t xml:space="preserve">FLUJO DE TRABAJO</t>
  </si>
  <si>
    <t xml:space="preserve">1</t>
  </si>
  <si>
    <t xml:space="preserve">EDT-WBS</t>
  </si>
  <si>
    <t xml:space="preserve">Defina entregables y paquetes de trabajo.</t>
  </si>
  <si>
    <t xml:space="preserve">2</t>
  </si>
  <si>
    <t xml:space="preserve">Actividades</t>
  </si>
  <si>
    <t xml:space="preserve">Descomponga cada paquete en actividades concretas.</t>
  </si>
  <si>
    <t xml:space="preserve">3</t>
  </si>
  <si>
    <t xml:space="preserve">Planificación</t>
  </si>
  <si>
    <t xml:space="preserve">Defina dependencias, esfuerzo, recursos, disponibilidad y duración.</t>
  </si>
  <si>
    <t xml:space="preserve">4</t>
  </si>
  <si>
    <t xml:space="preserve">Calendario</t>
  </si>
  <si>
    <t xml:space="preserve">Registre jornada, feriados, vacaciones, recursos compartidos y fechas comprometidas.</t>
  </si>
  <si>
    <t xml:space="preserve">5</t>
  </si>
  <si>
    <t xml:space="preserve">Cronograma</t>
  </si>
  <si>
    <t xml:space="preserve">Defina fechas de inicio y fin considerando restricciones.</t>
  </si>
  <si>
    <t xml:space="preserve">6</t>
  </si>
  <si>
    <t xml:space="preserve">Carta Gantt</t>
  </si>
  <si>
    <t xml:space="preserve">Visualice temporalmente el cronograma.</t>
  </si>
  <si>
    <t xml:space="preserve">REGLA CLAVE</t>
  </si>
  <si>
    <t xml:space="preserve">La EDT define QUÉ se entrega; las actividades definen el trabajo; el cronograma define CUÁNDO.</t>
  </si>
  <si>
    <t xml:space="preserve">PROYECTO</t>
  </si>
  <si>
    <t xml:space="preserve">Horizonte Conecta – Plataforma de gestión operacional de obras</t>
  </si>
  <si>
    <t xml:space="preserve">PLAZO</t>
  </si>
  <si>
    <t xml:space="preserve">Inicio 05-10-2026 · cierre planificado 12-07-2027 · plazo máximo 04-08-2027 (10 meses) · reserva de cronograma: 16 días hábiles</t>
  </si>
  <si>
    <t xml:space="preserve">MÉTODO</t>
  </si>
  <si>
    <t xml:space="preserve">Duración = Esfuerzo (hp) / (N° recursos × h/día), redondeada hacia arriba. Fechas del Cronograma calculadas con WORKDAY sobre el calendario laboral (lun–vie, 8 h) excluyendo los feriados de la hoja Calendario (nombre 'Feriados').</t>
  </si>
  <si>
    <t xml:space="preserve">RUTA CRÍTICA</t>
  </si>
  <si>
    <t xml:space="preserve">Holgura total y ruta crítica calculadas por método CPM (pasada hacia adelante y hacia atrás). En la Carta Gantt: rojo = actividad crítica, azul = no crítica, rombo naranjo = hito, columna roja = fecha límite.</t>
  </si>
  <si>
    <t xml:space="preserve">NIVEL DE ESFUERZO</t>
  </si>
  <si>
    <t xml:space="preserve">A03 (seguimiento y control) y A28 (apoyo a los sprints) son actividades de nivel de esfuerzo: su duración cubre el período de la actividad a la que acompañan.</t>
  </si>
  <si>
    <t xml:space="preserve">2. Descomposición de paquetes de trabajo en actividades — Horizonte Conecta</t>
  </si>
  <si>
    <t xml:space="preserve">ID EDT</t>
  </si>
  <si>
    <t xml:space="preserve">ID Actividad</t>
  </si>
  <si>
    <t xml:space="preserve">Actividad (verbo + objeto)</t>
  </si>
  <si>
    <t xml:space="preserve">Resultado verificable</t>
  </si>
  <si>
    <t xml:space="preserve">Responsable / Rol</t>
  </si>
  <si>
    <t xml:space="preserve">¿Terminada cuando...?</t>
  </si>
  <si>
    <t xml:space="preserve">Observaciones</t>
  </si>
  <si>
    <t xml:space="preserve">1.1.1</t>
  </si>
  <si>
    <t xml:space="preserve">A01</t>
  </si>
  <si>
    <t xml:space="preserve">Constituir equipo y comité directivo, y realizar kick-off</t>
  </si>
  <si>
    <t xml:space="preserve">Acta de kick-off y matriz RACI</t>
  </si>
  <si>
    <t xml:space="preserve">Jefe de Proyecto</t>
  </si>
  <si>
    <t xml:space="preserve">El patrocinador firma el acta de kick-off</t>
  </si>
  <si>
    <t xml:space="preserve">Inicio y planificación</t>
  </si>
  <si>
    <t xml:space="preserve">H01</t>
  </si>
  <si>
    <t xml:space="preserve">Hito: Kick-off realizado</t>
  </si>
  <si>
    <t xml:space="preserve">Kick-off realizado</t>
  </si>
  <si>
    <t xml:space="preserve">Hito (responsable: Jefe de Proyecto)</t>
  </si>
  <si>
    <t xml:space="preserve">Acta de kick-off firmada</t>
  </si>
  <si>
    <t xml:space="preserve">HITO · Inicio y planificación</t>
  </si>
  <si>
    <t xml:space="preserve">A02</t>
  </si>
  <si>
    <t xml:space="preserve">Elaborar y aprobar plan de dirección del proyecto</t>
  </si>
  <si>
    <t xml:space="preserve">Plan de dirección con líneas base</t>
  </si>
  <si>
    <t xml:space="preserve">El comité aprueba alcance, cronograma y costos</t>
  </si>
  <si>
    <t xml:space="preserve">1.1.2</t>
  </si>
  <si>
    <t xml:space="preserve">A03</t>
  </si>
  <si>
    <t xml:space="preserve">Realizar seguimiento y control (comités quincenales, riesgos y cambios)</t>
  </si>
  <si>
    <t xml:space="preserve">Informes quincenales y actas de comité</t>
  </si>
  <si>
    <t xml:space="preserve">Se emitió el último informe antes del cierre</t>
  </si>
  <si>
    <t xml:space="preserve">Nivel de esfuerzo: 4 h/día del JP</t>
  </si>
  <si>
    <t xml:space="preserve">1.1.3</t>
  </si>
  <si>
    <t xml:space="preserve">A04</t>
  </si>
  <si>
    <t xml:space="preserve">Elaborar informe final, lecciones aprendidas y acta de cierre</t>
  </si>
  <si>
    <t xml:space="preserve">Acta de cierre firmada</t>
  </si>
  <si>
    <t xml:space="preserve">El patrocinador firma el acta de cierre</t>
  </si>
  <si>
    <t xml:space="preserve">Cierre del proyecto</t>
  </si>
  <si>
    <t xml:space="preserve">H10</t>
  </si>
  <si>
    <t xml:space="preserve">Hito: Cierre formal del proyecto</t>
  </si>
  <si>
    <t xml:space="preserve">Cierre formal del proyecto</t>
  </si>
  <si>
    <t xml:space="preserve">HITO · Cierre del proyecto</t>
  </si>
  <si>
    <t xml:space="preserve">1.2.1</t>
  </si>
  <si>
    <t xml:space="preserve">A05</t>
  </si>
  <si>
    <t xml:space="preserve">Levantar procesos en las 3 obras piloto y en oficina central</t>
  </si>
  <si>
    <t xml:space="preserve">Mapas de procesos actuales</t>
  </si>
  <si>
    <t xml:space="preserve">Analista Funcional / de Negocio + Diseñador UX/UI</t>
  </si>
  <si>
    <t xml:space="preserve">Se entrevistó a los 3 equipos de obra y a las áreas centrales</t>
  </si>
  <si>
    <t xml:space="preserve">Sesiones cortas en obra (≤ 45 min)</t>
  </si>
  <si>
    <t xml:space="preserve">A06</t>
  </si>
  <si>
    <t xml:space="preserve">Documentar diagnóstico y línea base de indicadores</t>
  </si>
  <si>
    <t xml:space="preserve">Informe de diagnóstico</t>
  </si>
  <si>
    <t xml:space="preserve">Analista Funcional / de Negocio</t>
  </si>
  <si>
    <t xml:space="preserve">El Product Owner acepta el informe</t>
  </si>
  <si>
    <t xml:space="preserve">Diagnóstico de procesos actuales</t>
  </si>
  <si>
    <t xml:space="preserve">1.2.2</t>
  </si>
  <si>
    <t xml:space="preserve">A07</t>
  </si>
  <si>
    <t xml:space="preserve">Especificar requisitos e historias de usuario (incluye offline y seguridad)</t>
  </si>
  <si>
    <t xml:space="preserve">Catálogo de historias de usuario</t>
  </si>
  <si>
    <t xml:space="preserve">Cada historia tiene criterio de aceptación</t>
  </si>
  <si>
    <t xml:space="preserve">Requisitos, indicadores y backlog</t>
  </si>
  <si>
    <t xml:space="preserve">A08</t>
  </si>
  <si>
    <t xml:space="preserve">Definir indicadores de las 6 preguntas de la gerencia y validarlos con Finanzas</t>
  </si>
  <si>
    <t xml:space="preserve">Fichas de indicadores validadas</t>
  </si>
  <si>
    <t xml:space="preserve">Analista de Datos / BI</t>
  </si>
  <si>
    <t xml:space="preserve">Finanzas aprueba fuente y fórmula de cada indicador</t>
  </si>
  <si>
    <t xml:space="preserve">A09</t>
  </si>
  <si>
    <t xml:space="preserve">Priorizar backlog en Release 1 y 2 y aprobar el alcance en comité</t>
  </si>
  <si>
    <t xml:space="preserve">Backlog priorizado y acta de alcance</t>
  </si>
  <si>
    <t xml:space="preserve">Analista Funcional / de Negocio + Jefe de Proyecto</t>
  </si>
  <si>
    <t xml:space="preserve">El comité aprueba el alcance y decide sobre Prevención de Riesgos</t>
  </si>
  <si>
    <t xml:space="preserve">H02</t>
  </si>
  <si>
    <t xml:space="preserve">Hito: Alcance aprobado</t>
  </si>
  <si>
    <t xml:space="preserve">Alcance aprobado</t>
  </si>
  <si>
    <t xml:space="preserve">Hito (responsable: Analista Funcional / de Negocio)</t>
  </si>
  <si>
    <t xml:space="preserve">Acta de comité con la línea base de alcance</t>
  </si>
  <si>
    <t xml:space="preserve">HITO · Requisitos, indicadores y backlog</t>
  </si>
  <si>
    <t xml:space="preserve">1.3.1</t>
  </si>
  <si>
    <t xml:space="preserve">A10</t>
  </si>
  <si>
    <t xml:space="preserve">Probar la API del sistema de compras con el proveedor (prueba de concepto)</t>
  </si>
  <si>
    <t xml:space="preserve">Informe de la prueba de concepto</t>
  </si>
  <si>
    <t xml:space="preserve">Desarrollador de Integraciones</t>
  </si>
  <si>
    <t xml:space="preserve">Se consultó una OC real vía API</t>
  </si>
  <si>
    <t xml:space="preserve">Se adelanta porque es el mayor riesgo técnico</t>
  </si>
  <si>
    <t xml:space="preserve">A11</t>
  </si>
  <si>
    <t xml:space="preserve">Diseñar arquitectura, integraciones y modelo de datos, y aprobarlos con TI</t>
  </si>
  <si>
    <t xml:space="preserve">Documento de arquitectura y modelo de datos</t>
  </si>
  <si>
    <t xml:space="preserve">Arquitecto de Solución</t>
  </si>
  <si>
    <t xml:space="preserve">TI corporativa aprueba la arquitectura</t>
  </si>
  <si>
    <t xml:space="preserve">Arquitectura, integraciones y datos</t>
  </si>
  <si>
    <t xml:space="preserve">1.3.2</t>
  </si>
  <si>
    <t xml:space="preserve">A12</t>
  </si>
  <si>
    <t xml:space="preserve">Diseñar el prototipo UX/UI y validarlo con jefes de obra</t>
  </si>
  <si>
    <t xml:space="preserve">Prototipo validado</t>
  </si>
  <si>
    <t xml:space="preserve">Diseñador UX/UI</t>
  </si>
  <si>
    <t xml:space="preserve">≥ 80 % de tareas completadas sin ayuda en la prueba</t>
  </si>
  <si>
    <t xml:space="preserve">Diseño UX/UI</t>
  </si>
  <si>
    <t xml:space="preserve">H03</t>
  </si>
  <si>
    <t xml:space="preserve">Hito: Diseño de solución aprobado</t>
  </si>
  <si>
    <t xml:space="preserve">Diseño de solución aprobado</t>
  </si>
  <si>
    <t xml:space="preserve">Hito (responsable: Diseñador UX/UI)</t>
  </si>
  <si>
    <t xml:space="preserve">Arquitectura y prototipo aprobados</t>
  </si>
  <si>
    <t xml:space="preserve">HITO · Diseño UX/UI</t>
  </si>
  <si>
    <t xml:space="preserve">1.4.1</t>
  </si>
  <si>
    <t xml:space="preserve">A13</t>
  </si>
  <si>
    <t xml:space="preserve">Provisionar ambientes cloud, CI/CD, monitoreo y respaldos</t>
  </si>
  <si>
    <t xml:space="preserve">Ambientes dev, QA y producción</t>
  </si>
  <si>
    <t xml:space="preserve">Ingeniero DevOps / Cloud</t>
  </si>
  <si>
    <t xml:space="preserve">Un cambio se despliega solo a QA</t>
  </si>
  <si>
    <t xml:space="preserve">Ambientes cloud</t>
  </si>
  <si>
    <t xml:space="preserve">1.4.2</t>
  </si>
  <si>
    <t xml:space="preserve">A14</t>
  </si>
  <si>
    <t xml:space="preserve">Desarrollar núcleo: usuarios, roles por obra, auditoría y maestros</t>
  </si>
  <si>
    <t xml:space="preserve">Núcleo desplegado en QA</t>
  </si>
  <si>
    <t xml:space="preserve">Desarrollador Backend</t>
  </si>
  <si>
    <t xml:space="preserve">Usuario sin permiso es rechazado; maestros cargados</t>
  </si>
  <si>
    <t xml:space="preserve">Núcleo y app móvil offline</t>
  </si>
  <si>
    <t xml:space="preserve">A15</t>
  </si>
  <si>
    <t xml:space="preserve">Desarrollar la app móvil offline y probarla en terreno</t>
  </si>
  <si>
    <t xml:space="preserve">App base con sincronización</t>
  </si>
  <si>
    <t xml:space="preserve">Desarrollador Frontend/Móvil</t>
  </si>
  <si>
    <t xml:space="preserve">0 registros perdidos en 50 operaciones sin señal</t>
  </si>
  <si>
    <t xml:space="preserve">H04</t>
  </si>
  <si>
    <t xml:space="preserve">Hito: Plataforma base operativa</t>
  </si>
  <si>
    <t xml:space="preserve">Plataforma base operativa</t>
  </si>
  <si>
    <t xml:space="preserve">Hito (responsable: Desarrollador Backend)</t>
  </si>
  <si>
    <t xml:space="preserve">Núcleo, app offline y SSO funcionando en QA</t>
  </si>
  <si>
    <t xml:space="preserve">HITO · Núcleo y app móvil offline</t>
  </si>
  <si>
    <t xml:space="preserve">1.5.1</t>
  </si>
  <si>
    <t xml:space="preserve">A16</t>
  </si>
  <si>
    <t xml:space="preserve">Integrar el inicio de sesión corporativo (SSO) y el repositorio documental Microsoft</t>
  </si>
  <si>
    <t xml:space="preserve">SSO y conector documental en QA</t>
  </si>
  <si>
    <t xml:space="preserve">Login corporativo funciona y se lee la versión vigente de un plano</t>
  </si>
  <si>
    <t xml:space="preserve">Identidad y repositorio Microsoft</t>
  </si>
  <si>
    <t xml:space="preserve">1.5.2</t>
  </si>
  <si>
    <t xml:space="preserve">A17</t>
  </si>
  <si>
    <t xml:space="preserve">Integrar el sistema de compras (API) y validarlo con Adquisiciones</t>
  </si>
  <si>
    <t xml:space="preserve">Conector de compras validado</t>
  </si>
  <si>
    <t xml:space="preserve">20 OC muestreadas coinciden con el sistema de compras</t>
  </si>
  <si>
    <t xml:space="preserve">Sistema de compras y ERP</t>
  </si>
  <si>
    <t xml:space="preserve">A18</t>
  </si>
  <si>
    <t xml:space="preserve">Integrar el ERP en modo lectura y conciliar montos con Finanzas</t>
  </si>
  <si>
    <t xml:space="preserve">Integración ERP conciliada</t>
  </si>
  <si>
    <t xml:space="preserve">Diferencia 0 entre ERP y plataforma en 3 obras</t>
  </si>
  <si>
    <t xml:space="preserve">1.6.1</t>
  </si>
  <si>
    <t xml:space="preserve">A19</t>
  </si>
  <si>
    <t xml:space="preserve">Desarrollar importación de programación, cálculo de avance y alertas de bloqueo</t>
  </si>
  <si>
    <t xml:space="preserve">Vista programado vs real en QA</t>
  </si>
  <si>
    <t xml:space="preserve">Las 3 programaciones se importan y el avance cuadra con el cálculo manual</t>
  </si>
  <si>
    <t xml:space="preserve">Célula A (backend)</t>
  </si>
  <si>
    <t xml:space="preserve">A20</t>
  </si>
  <si>
    <t xml:space="preserve">Desarrollar el registro móvil de avance por partida con fotos</t>
  </si>
  <si>
    <t xml:space="preserve">Registro de avance móvil en QA</t>
  </si>
  <si>
    <t xml:space="preserve">Registro de una partida en ≤ 3 min</t>
  </si>
  <si>
    <t xml:space="preserve">Célula A (móvil)</t>
  </si>
  <si>
    <t xml:space="preserve">1.6.2</t>
  </si>
  <si>
    <t xml:space="preserve">A21</t>
  </si>
  <si>
    <t xml:space="preserve">Desarrollar el módulo de observaciones con fotos y flujo de cierre</t>
  </si>
  <si>
    <t xml:space="preserve">Módulo de observaciones en QA</t>
  </si>
  <si>
    <t xml:space="preserve">Desarrollador Backend + Desarrollador Frontend/Móvil</t>
  </si>
  <si>
    <t xml:space="preserve">Toda foto queda asociada a una observación</t>
  </si>
  <si>
    <t xml:space="preserve">Célula B</t>
  </si>
  <si>
    <t xml:space="preserve">1.6.3</t>
  </si>
  <si>
    <t xml:space="preserve">A22</t>
  </si>
  <si>
    <t xml:space="preserve">Desarrollar el catálogo y el visor offline de planos vigentes</t>
  </si>
  <si>
    <t xml:space="preserve">Módulo de planos en QA</t>
  </si>
  <si>
    <t xml:space="preserve">Los planos reemplazados no se pueden abrir</t>
  </si>
  <si>
    <t xml:space="preserve">1.7.1</t>
  </si>
  <si>
    <t xml:space="preserve">A23</t>
  </si>
  <si>
    <t xml:space="preserve">Desarrollar el módulo de materiales (OC, recepción móvil y conciliación con facturas)</t>
  </si>
  <si>
    <t xml:space="preserve">Módulo de materiales en QA</t>
  </si>
  <si>
    <t xml:space="preserve">Cada recepción queda vinculada a su OC con foto de la guía</t>
  </si>
  <si>
    <t xml:space="preserve">Célula A, después de corregir defectos de R1</t>
  </si>
  <si>
    <t xml:space="preserve">1.7.2</t>
  </si>
  <si>
    <t xml:space="preserve">A24</t>
  </si>
  <si>
    <t xml:space="preserve">Desarrollar el módulo de subcontratos y estados de pago</t>
  </si>
  <si>
    <t xml:space="preserve">Módulo de EP en QA</t>
  </si>
  <si>
    <t xml:space="preserve">Un EP pasa por jefe de obra, oficina técnica y administración con trazabilidad</t>
  </si>
  <si>
    <t xml:space="preserve">1.7.3</t>
  </si>
  <si>
    <t xml:space="preserve">A25</t>
  </si>
  <si>
    <t xml:space="preserve">Construir el modelo analítico con cargas diarias</t>
  </si>
  <si>
    <t xml:space="preserve">Modelo analítico en QA</t>
  </si>
  <si>
    <t xml:space="preserve">La carga diaria funciona 5 días seguidos</t>
  </si>
  <si>
    <t xml:space="preserve">Tablero ejecutivo</t>
  </si>
  <si>
    <t xml:space="preserve">A26</t>
  </si>
  <si>
    <t xml:space="preserve">Desarrollar el tablero ejecutivo y validarlo con Gerencia y Finanzas</t>
  </si>
  <si>
    <t xml:space="preserve">Tablero validado</t>
  </si>
  <si>
    <t xml:space="preserve">Las 6 preguntas se responden con datos del día anterior</t>
  </si>
  <si>
    <t xml:space="preserve">1.8.1</t>
  </si>
  <si>
    <t xml:space="preserve">A27</t>
  </si>
  <si>
    <t xml:space="preserve">Elaborar el plan y los casos de prueba</t>
  </si>
  <si>
    <t xml:space="preserve">Plan de pruebas</t>
  </si>
  <si>
    <t xml:space="preserve">Analista QA</t>
  </si>
  <si>
    <t xml:space="preserve">Cada historia tiene casos de prueba</t>
  </si>
  <si>
    <t xml:space="preserve">Plan de pruebas y calidad por sprint</t>
  </si>
  <si>
    <t xml:space="preserve">A28</t>
  </si>
  <si>
    <t xml:space="preserve">Apoyar los sprints: refinamiento, diseño de detalle, QA continuo, ambientes y revisión técnica</t>
  </si>
  <si>
    <t xml:space="preserve">Reportes de sprint</t>
  </si>
  <si>
    <t xml:space="preserve">Analista Funcional / de Negocio + Diseñador UX/UI + Analista QA + Ingeniero DevOps / Cloud + Arquitecto de Solución</t>
  </si>
  <si>
    <t xml:space="preserve">Cada sprint termina con historias probadas</t>
  </si>
  <si>
    <t xml:space="preserve">Nivel de esfuerzo: 4 h/día de analista, UX, QA, DevOps y arquitecto</t>
  </si>
  <si>
    <t xml:space="preserve">1.8.2</t>
  </si>
  <si>
    <t xml:space="preserve">A29</t>
  </si>
  <si>
    <t xml:space="preserve">Ejecutar pruebas de sistema de Release 1 y corregir defectos</t>
  </si>
  <si>
    <t xml:space="preserve">Informe de pruebas R1</t>
  </si>
  <si>
    <t xml:space="preserve">Analista QA + Desarrollador Backend + Desarrollador Frontend/Móvil</t>
  </si>
  <si>
    <t xml:space="preserve">0 defectos críticos abiertos</t>
  </si>
  <si>
    <t xml:space="preserve">1 QA + célula A (1 backend y 1 móvil) corrigiendo defectos</t>
  </si>
  <si>
    <t xml:space="preserve">A30</t>
  </si>
  <si>
    <t xml:space="preserve">Realizar la prueba de aceptación (UAT) de Release 1 con usuarios de obra</t>
  </si>
  <si>
    <t xml:space="preserve">Acta UAT R1</t>
  </si>
  <si>
    <t xml:space="preserve">Analista QA + Analista Funcional / de Negocio</t>
  </si>
  <si>
    <t xml:space="preserve">Usuarios clave firman el acta</t>
  </si>
  <si>
    <t xml:space="preserve">4 h/día por disponibilidad de usuarios de obra</t>
  </si>
  <si>
    <t xml:space="preserve">H05</t>
  </si>
  <si>
    <t xml:space="preserve">Hito: Release 1 aceptada</t>
  </si>
  <si>
    <t xml:space="preserve">Release 1 aceptada</t>
  </si>
  <si>
    <t xml:space="preserve">Hito (responsable: Analista QA)</t>
  </si>
  <si>
    <t xml:space="preserve">Acta UAT R1 firmada</t>
  </si>
  <si>
    <t xml:space="preserve">HITO · Pruebas de Release 1</t>
  </si>
  <si>
    <t xml:space="preserve">1.8.3</t>
  </si>
  <si>
    <t xml:space="preserve">A31</t>
  </si>
  <si>
    <t xml:space="preserve">Ejecutar pruebas de sistema de Release 2 (con regresión) y corregir defectos</t>
  </si>
  <si>
    <t xml:space="preserve">Informe de pruebas R2</t>
  </si>
  <si>
    <t xml:space="preserve">2 QA + las 2 células de desarrollo</t>
  </si>
  <si>
    <t xml:space="preserve">A32</t>
  </si>
  <si>
    <t xml:space="preserve">Ejecutar la prueba de seguridad externa y corregir hallazgos</t>
  </si>
  <si>
    <t xml:space="preserve">Informe de seguridad</t>
  </si>
  <si>
    <t xml:space="preserve">Sin hallazgos críticos ni altos abiertos</t>
  </si>
  <si>
    <t xml:space="preserve">Servicio externo; duración fijada por el proveedor</t>
  </si>
  <si>
    <t xml:space="preserve">A33</t>
  </si>
  <si>
    <t xml:space="preserve">Realizar la UAT de Release 2 con obra y oficina central</t>
  </si>
  <si>
    <t xml:space="preserve">Acta UAT R2</t>
  </si>
  <si>
    <t xml:space="preserve">Usuarios, Finanzas y Gerencia firman el acta</t>
  </si>
  <si>
    <t xml:space="preserve">Pruebas de Release 2</t>
  </si>
  <si>
    <t xml:space="preserve">H07</t>
  </si>
  <si>
    <t xml:space="preserve">Hito: Release 2 aceptada</t>
  </si>
  <si>
    <t xml:space="preserve">Release 2 aceptada</t>
  </si>
  <si>
    <t xml:space="preserve">Acta UAT R2 e informe de seguridad aprobados</t>
  </si>
  <si>
    <t xml:space="preserve">HITO · Pruebas de Release 2</t>
  </si>
  <si>
    <t xml:space="preserve">1.9.1</t>
  </si>
  <si>
    <t xml:space="preserve">A34</t>
  </si>
  <si>
    <t xml:space="preserve">Elaborar el plan de cambio, comprar dispositivos y cargar datos maestros de las obras</t>
  </si>
  <si>
    <t xml:space="preserve">Obras piloto habilitadas</t>
  </si>
  <si>
    <t xml:space="preserve">Especialista Gestión del Cambio y Capacitación + Ingeniero DevOps / Cloud</t>
  </si>
  <si>
    <t xml:space="preserve">Tablets enroladas, promotor por obra y datos validados</t>
  </si>
  <si>
    <t xml:space="preserve">Duración marcada por el plazo de compra de equipos</t>
  </si>
  <si>
    <t xml:space="preserve">1.9.2</t>
  </si>
  <si>
    <t xml:space="preserve">A35</t>
  </si>
  <si>
    <t xml:space="preserve">Capacitar a los usuarios de obra en Release 1 (sesiones cortas en obra)</t>
  </si>
  <si>
    <t xml:space="preserve">Registro de asistencia y evaluación</t>
  </si>
  <si>
    <t xml:space="preserve">Especialista Gestión del Cambio y Capacitación</t>
  </si>
  <si>
    <t xml:space="preserve">≥ 90 % de usuarios capacitados</t>
  </si>
  <si>
    <t xml:space="preserve">Puesta en marcha de Release 1</t>
  </si>
  <si>
    <t xml:space="preserve">A36</t>
  </si>
  <si>
    <t xml:space="preserve">Desplegar Release 1 en producción</t>
  </si>
  <si>
    <t xml:space="preserve">R1 en producción</t>
  </si>
  <si>
    <t xml:space="preserve">Smoke test aprobado</t>
  </si>
  <si>
    <t xml:space="preserve">H06</t>
  </si>
  <si>
    <t xml:space="preserve">Hito: Release 1 en operación en las 3 obras</t>
  </si>
  <si>
    <t xml:space="preserve">Release 1 en operación en las 3 obras</t>
  </si>
  <si>
    <t xml:space="preserve">Hito (responsable: Especialista Gestión del Cambio y Capacitación)</t>
  </si>
  <si>
    <t xml:space="preserve">Usuarios registran datos reales</t>
  </si>
  <si>
    <t xml:space="preserve">HITO · Puesta en marcha de Release 1</t>
  </si>
  <si>
    <t xml:space="preserve">A37</t>
  </si>
  <si>
    <t xml:space="preserve">Acompañar la operación asistida de Release 1 en terreno</t>
  </si>
  <si>
    <t xml:space="preserve">Informe de adopción R1</t>
  </si>
  <si>
    <t xml:space="preserve">Especialista Gestión del Cambio y Capacitación + Analista Funcional / de Negocio</t>
  </si>
  <si>
    <t xml:space="preserve">Uso semanal ≥ 70 %</t>
  </si>
  <si>
    <t xml:space="preserve">1.9.3</t>
  </si>
  <si>
    <t xml:space="preserve">A38</t>
  </si>
  <si>
    <t xml:space="preserve">Capacitar a los usuarios en Release 2</t>
  </si>
  <si>
    <t xml:space="preserve">Registro de asistencia</t>
  </si>
  <si>
    <t xml:space="preserve">≥ 90 % de usuarios de R2 capacitados</t>
  </si>
  <si>
    <t xml:space="preserve">Puesta en marcha de Release 2</t>
  </si>
  <si>
    <t xml:space="preserve">A39</t>
  </si>
  <si>
    <t xml:space="preserve">Desplegar Release 2 en producción</t>
  </si>
  <si>
    <t xml:space="preserve">R2 en producción</t>
  </si>
  <si>
    <t xml:space="preserve">H08</t>
  </si>
  <si>
    <t xml:space="preserve">Hito: Release 2 en operación en las 3 obras</t>
  </si>
  <si>
    <t xml:space="preserve">Release 2 en operación en las 3 obras</t>
  </si>
  <si>
    <t xml:space="preserve">Primer EP y primera recepción en producción</t>
  </si>
  <si>
    <t xml:space="preserve">HITO · Puesta en marcha de Release 2</t>
  </si>
  <si>
    <t xml:space="preserve">A40</t>
  </si>
  <si>
    <t xml:space="preserve">Acompañar la operación asistida de Release 2 durante 2 ciclos mensuales de EP</t>
  </si>
  <si>
    <t xml:space="preserve">Informe de adopción R2</t>
  </si>
  <si>
    <t xml:space="preserve">Especialista Gestión del Cambio y Capacitación + Analista Funcional / de Negocio + Desarrollador Backend + Desarrollador Frontend/Móvil</t>
  </si>
  <si>
    <t xml:space="preserve">2 ciclos de EP cerrados en la plataforma</t>
  </si>
  <si>
    <t xml:space="preserve">Incluye corrección de incidencias (1 backend + 1 móvil a media jornada)</t>
  </si>
  <si>
    <t xml:space="preserve">1.9.4</t>
  </si>
  <si>
    <t xml:space="preserve">A41</t>
  </si>
  <si>
    <t xml:space="preserve">Medir resultados del piloto y elaborar el plan de escalamiento</t>
  </si>
  <si>
    <t xml:space="preserve">Informe de evaluación y plan de escalamiento</t>
  </si>
  <si>
    <t xml:space="preserve">Jefe de Proyecto + Analista Funcional / de Negocio + Analista de Datos / BI</t>
  </si>
  <si>
    <t xml:space="preserve">El comité decide el escalamiento</t>
  </si>
  <si>
    <t xml:space="preserve">Evaluación del piloto</t>
  </si>
  <si>
    <t xml:space="preserve">H09</t>
  </si>
  <si>
    <t xml:space="preserve">Hito: Evaluación del piloto aprobada</t>
  </si>
  <si>
    <t xml:space="preserve">Evaluación del piloto aprobada</t>
  </si>
  <si>
    <t xml:space="preserve">Acta de comité con decisión de escalamiento</t>
  </si>
  <si>
    <t xml:space="preserve">HITO · Evaluación del piloto</t>
  </si>
  <si>
    <t xml:space="preserve">1.10.1</t>
  </si>
  <si>
    <t xml:space="preserve">A42</t>
  </si>
  <si>
    <t xml:space="preserve">Elaborar documentación y manuales, y traspasar la operación a TI</t>
  </si>
  <si>
    <t xml:space="preserve">Acta de traspaso</t>
  </si>
  <si>
    <t xml:space="preserve">Arquitecto de Solución + Ingeniero DevOps / Cloud + Especialista Gestión del Cambio y Capacitación</t>
  </si>
  <si>
    <t xml:space="preserve">TI firma el acta de traspaso</t>
  </si>
  <si>
    <t xml:space="preserve">Documentación y traspaso a TI</t>
  </si>
  <si>
    <t xml:space="preserve">3. Planificación temporal — dependencias, esfuerzo, recursos y duración — Horizonte Conecta</t>
  </si>
  <si>
    <t xml:space="preserve">ID</t>
  </si>
  <si>
    <t xml:space="preserve">Actividad</t>
  </si>
  <si>
    <t xml:space="preserve">Predecesora(s)</t>
  </si>
  <si>
    <t xml:space="preserve">Tipo</t>
  </si>
  <si>
    <t xml:space="preserve">Esfuerzo (hp)</t>
  </si>
  <si>
    <t xml:space="preserve">N° recursos</t>
  </si>
  <si>
    <t xml:space="preserve">Disponibilidad (h/día)</t>
  </si>
  <si>
    <t xml:space="preserve">Duración calculada (días)</t>
  </si>
  <si>
    <t xml:space="preserve">Duración planificada (días)</t>
  </si>
  <si>
    <t xml:space="preserve">Recurso / Rol</t>
  </si>
  <si>
    <t xml:space="preserve">—</t>
  </si>
  <si>
    <t xml:space="preserve">FS</t>
  </si>
  <si>
    <t xml:space="preserve">Hito</t>
  </si>
  <si>
    <t xml:space="preserve">Nivel de esfuerzo: 4 h/día del JP; Termina con A40</t>
  </si>
  <si>
    <t xml:space="preserve">H09, A42</t>
  </si>
  <si>
    <t xml:space="preserve">A07, A08</t>
  </si>
  <si>
    <t xml:space="preserve">A06, A10</t>
  </si>
  <si>
    <t xml:space="preserve">A11, A12</t>
  </si>
  <si>
    <t xml:space="preserve">H03, A13</t>
  </si>
  <si>
    <t xml:space="preserve">A14, A15, A16</t>
  </si>
  <si>
    <t xml:space="preserve">A13, A10</t>
  </si>
  <si>
    <t xml:space="preserve">A21, A16</t>
  </si>
  <si>
    <t xml:space="preserve">A29, A17</t>
  </si>
  <si>
    <t xml:space="preserve">H04, A08</t>
  </si>
  <si>
    <t xml:space="preserve">A25, A18</t>
  </si>
  <si>
    <t xml:space="preserve">Nivel de esfuerzo: 4 h/día de analista, UX, QA, DevOps y arquitecto; Termina con A24</t>
  </si>
  <si>
    <t xml:space="preserve">A19, A20, A22, A27</t>
  </si>
  <si>
    <t xml:space="preserve">A23, A24, A26, H05</t>
  </si>
  <si>
    <t xml:space="preserve">Servicio externo; duración fijada por el proveedor; Duración planificada ajustada (no sólo esfuerzo)</t>
  </si>
  <si>
    <t xml:space="preserve">A33, A32</t>
  </si>
  <si>
    <t xml:space="preserve">Duración marcada por el plazo de compra de equipos; Duración planificada ajustada (no sólo esfuerzo)</t>
  </si>
  <si>
    <t xml:space="preserve">A29, A34</t>
  </si>
  <si>
    <t xml:space="preserve">H05, A35</t>
  </si>
  <si>
    <t xml:space="preserve">H07, A38</t>
  </si>
  <si>
    <t xml:space="preserve">TOTAL ESFUERZO (horas-persona)</t>
  </si>
  <si>
    <t xml:space="preserve">4. Calendario del proyecto y restricciones — Horizonte Conecta</t>
  </si>
  <si>
    <t xml:space="preserve">Parámetro</t>
  </si>
  <si>
    <t xml:space="preserve">Valor</t>
  </si>
  <si>
    <t xml:space="preserve">Unidad / Tipo</t>
  </si>
  <si>
    <t xml:space="preserve">Horas laborales por día</t>
  </si>
  <si>
    <t xml:space="preserve">h/día</t>
  </si>
  <si>
    <t xml:space="preserve">Modificar según jornada real</t>
  </si>
  <si>
    <t xml:space="preserve">Días laborales por semana</t>
  </si>
  <si>
    <t xml:space="preserve">días</t>
  </si>
  <si>
    <t xml:space="preserve">Normalmente lunes a viernes</t>
  </si>
  <si>
    <t xml:space="preserve">Fecha inicio del proyecto</t>
  </si>
  <si>
    <t xml:space="preserve">fecha</t>
  </si>
  <si>
    <t xml:space="preserve">Lunes 05-10-2026 (tras aprobación del charter el 02-10-2026)</t>
  </si>
  <si>
    <t xml:space="preserve">Fecha comprometida final</t>
  </si>
  <si>
    <t xml:space="preserve">Plazo máximo de 10 meses definido por la constructora</t>
  </si>
  <si>
    <t xml:space="preserve">Laboral</t>
  </si>
  <si>
    <t xml:space="preserve">tipo</t>
  </si>
  <si>
    <t xml:space="preserve">Considere fines de semana y feriados</t>
  </si>
  <si>
    <t xml:space="preserve">Zona / contexto</t>
  </si>
  <si>
    <t xml:space="preserve">Chile – feriados nacionales</t>
  </si>
  <si>
    <t xml:space="preserve">texto</t>
  </si>
  <si>
    <t xml:space="preserve">Obras piloto: Viña del Mar (Valparaíso), Santiago (RM) y Rancagua (O'Higgins)</t>
  </si>
  <si>
    <t xml:space="preserve">Rango con nombre 'Feriados' = B13:B21 (usado por WORKDAY en Cronograma)</t>
  </si>
  <si>
    <t xml:space="preserve">Desde</t>
  </si>
  <si>
    <t xml:space="preserve">Hasta</t>
  </si>
  <si>
    <t xml:space="preserve">Persona/Recurso</t>
  </si>
  <si>
    <t xml:space="preserve">Descripción</t>
  </si>
  <si>
    <t xml:space="preserve">Afecta actividad</t>
  </si>
  <si>
    <t xml:space="preserve">Impacto</t>
  </si>
  <si>
    <t xml:space="preserve">Feriado</t>
  </si>
  <si>
    <t xml:space="preserve">Todos</t>
  </si>
  <si>
    <t xml:space="preserve">Feriado nacional: Encuentro de Dos Mundos</t>
  </si>
  <si>
    <t xml:space="preserve">Todas las activas ese día</t>
  </si>
  <si>
    <t xml:space="preserve">Día no laborable (WORKDAY lo excluye)</t>
  </si>
  <si>
    <t xml:space="preserve">Fuente: feriados.cl</t>
  </si>
  <si>
    <t xml:space="preserve">Feriado nacional: Inmaculada Concepción</t>
  </si>
  <si>
    <t xml:space="preserve">Feriado nacional: Navidad</t>
  </si>
  <si>
    <t xml:space="preserve">Feriado nacional: Año Nuevo</t>
  </si>
  <si>
    <t xml:space="preserve">Feriado nacional: Viernes Santo</t>
  </si>
  <si>
    <t xml:space="preserve">Feriado nacional: Día de las Glorias Navales</t>
  </si>
  <si>
    <t xml:space="preserve">Feriado nacional: Día Nacional de los Pueblos Indígenas</t>
  </si>
  <si>
    <t xml:space="preserve">Feriado nacional: San Pedro y San Pablo</t>
  </si>
  <si>
    <t xml:space="preserve">Feriado nacional: Día de la Virgen del Carmen</t>
  </si>
  <si>
    <t xml:space="preserve">Fecha comprometida</t>
  </si>
  <si>
    <t xml:space="preserve">Proyecto</t>
  </si>
  <si>
    <t xml:space="preserve">Plazo máximo del proyecto (10 meses)</t>
  </si>
  <si>
    <t xml:space="preserve">Cierre debe ser anterior</t>
  </si>
  <si>
    <t xml:space="preserve">Cierre planificado 12-07-2027: reserva de 3 semanas</t>
  </si>
  <si>
    <t xml:space="preserve">Recurso compartido</t>
  </si>
  <si>
    <t xml:space="preserve">Jefes de obra y oficina técnica</t>
  </si>
  <si>
    <t xml:space="preserve">Disponibilidad máx. 2 h/semana para el proyecto</t>
  </si>
  <si>
    <t xml:space="preserve">A05, A12, A30, A35</t>
  </si>
  <si>
    <t xml:space="preserve">Sesiones ≤ 45 min en obra; UAT a 4 h/día</t>
  </si>
  <si>
    <t xml:space="preserve">SUP-06</t>
  </si>
  <si>
    <t xml:space="preserve">TI corporativa</t>
  </si>
  <si>
    <t xml:space="preserve">Accesos a identidad, repositorio Microsoft y ERP</t>
  </si>
  <si>
    <t xml:space="preserve">A11, A13, A16, A18</t>
  </si>
  <si>
    <t xml:space="preserve">Solicitudes en semana 1; mesa técnica semanal</t>
  </si>
  <si>
    <t xml:space="preserve">R-08</t>
  </si>
  <si>
    <t xml:space="preserve">Proveedor del sistema de compras</t>
  </si>
  <si>
    <t xml:space="preserve">Bolsa de 120 h de soporte a la API</t>
  </si>
  <si>
    <t xml:space="preserve">A10, A17</t>
  </si>
  <si>
    <t xml:space="preserve">Dependencia externa en la ruta crítica</t>
  </si>
  <si>
    <t xml:space="preserve">SUP-02</t>
  </si>
  <si>
    <t xml:space="preserve">Jornada parcial</t>
  </si>
  <si>
    <t xml:space="preserve">4 h/día dedicadas a seguimiento y control (A03)</t>
  </si>
  <si>
    <t xml:space="preserve">A09, A41</t>
  </si>
  <si>
    <t xml:space="preserve">Actividades del JP en paralelo planificadas a 4 h/día</t>
  </si>
  <si>
    <t xml:space="preserve">Evita sobreasignación</t>
  </si>
  <si>
    <t xml:space="preserve">Vacaciones</t>
  </si>
  <si>
    <t xml:space="preserve">Equipo proveedor</t>
  </si>
  <si>
    <t xml:space="preserve">Vacaciones escalonadas (máx. 1 persona por rol a la vez, con reemplazo)</t>
  </si>
  <si>
    <t xml:space="preserve">Construcción R1/R2</t>
  </si>
  <si>
    <t xml:space="preserve">Sin impacto si se cumple SUP-10; si no, se usa la reserva</t>
  </si>
  <si>
    <t xml:space="preserve">SUP-10</t>
  </si>
  <si>
    <t xml:space="preserve">Otro</t>
  </si>
  <si>
    <t xml:space="preserve">Administración de obra</t>
  </si>
  <si>
    <t xml:space="preserve">Cierres mensuales de estados de pago (fines de mayo y de junio)</t>
  </si>
  <si>
    <t xml:space="preserve">Define la duración de la operación asistida R2 (2 ciclos)</t>
  </si>
  <si>
    <t xml:space="preserve">OE5</t>
  </si>
  <si>
    <t xml:space="preserve">Obras piloto</t>
  </si>
  <si>
    <t xml:space="preserve">Las faenas no se detienen: despliegues y capacitación fuera de horario crítico</t>
  </si>
  <si>
    <t xml:space="preserve">A36, A39, A35</t>
  </si>
  <si>
    <t xml:space="preserve">Despliegues de tarde o fin de jornada</t>
  </si>
  <si>
    <t xml:space="preserve">RES-08</t>
  </si>
  <si>
    <t xml:space="preserve">5. Cronograma base — Horizonte Conecta (fechas calculadas con WORKDAY y feriados)</t>
  </si>
  <si>
    <t xml:space="preserve">Duración (días)</t>
  </si>
  <si>
    <t xml:space="preserve">Fecha inicio</t>
  </si>
  <si>
    <t xml:space="preserve">Fecha fin</t>
  </si>
  <si>
    <t xml:space="preserve">% Avance</t>
  </si>
  <si>
    <t xml:space="preserve">Holgura total (días háb.)</t>
  </si>
  <si>
    <t xml:space="preserve">Ruta crítica</t>
  </si>
  <si>
    <t xml:space="preserve">Paquete EDT</t>
  </si>
  <si>
    <t xml:space="preserve">Entregable EDT (nivel 2)</t>
  </si>
  <si>
    <t xml:space="preserve">No</t>
  </si>
  <si>
    <t xml:space="preserve">0%</t>
  </si>
  <si>
    <t xml:space="preserve">Sí</t>
  </si>
  <si>
    <t xml:space="preserve">1.1</t>
  </si>
  <si>
    <t xml:space="preserve">1.2</t>
  </si>
  <si>
    <t xml:space="preserve">1.3</t>
  </si>
  <si>
    <t xml:space="preserve">1.4</t>
  </si>
  <si>
    <t xml:space="preserve">1.5</t>
  </si>
  <si>
    <t xml:space="preserve">1.6</t>
  </si>
  <si>
    <t xml:space="preserve">1.7</t>
  </si>
  <si>
    <t xml:space="preserve">1.8</t>
  </si>
  <si>
    <t xml:space="preserve">1.9</t>
  </si>
  <si>
    <t xml:space="preserve">1.10</t>
  </si>
  <si>
    <t xml:space="preserve">Inicio del proyecto</t>
  </si>
  <si>
    <t xml:space="preserve">Término del proyecto</t>
  </si>
  <si>
    <t xml:space="preserve">Días hábiles de reserva hasta la fecha comprometida</t>
  </si>
  <si>
    <t xml:space="preserve">Ruta crítica (secuencia)</t>
  </si>
  <si>
    <t xml:space="preserve">A01 → H01 → [A05 → A06 ‖ A10] → A11 → A13 → A16 → A17 → A18 → A26 → A31 → A32 → H07 → A39 → H08 → A40 → A41 → H09 → A04 → H10   ([ ‖ ] = ramas críticas paralelas)</t>
  </si>
  <si>
    <t xml:space="preserve">6. Carta Gantt — Vista temporal del cronograma (diaria) — Horizonte Conecta</t>
  </si>
  <si>
    <t xml:space="preserve">Fecha límite:</t>
  </si>
  <si>
    <t xml:space="preserve">Inicio vista:</t>
  </si>
  <si>
    <t xml:space="preserve">Inicio</t>
  </si>
  <si>
    <t xml:space="preserve">Fin</t>
  </si>
  <si>
    <t xml:space="preserve">Leyenda: rojo = actividad en ruta crítica · azul = actividad con holgura · naranjo = hito · gris = fin de semana · columna rosada = fecha límite (04-08-2027)</t>
  </si>
  <si>
    <t xml:space="preserve">7. Carta Gantt resumen (semanal) por entregable de la EDT e hitos — Horizonte Conecta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</si>
  <si>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</si>
  <si>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</si>
  <si>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</si>
  <si>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</si>
  <si>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</si>
  <si>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</si>
  <si>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</si>
  <si>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</si>
  <si>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</si>
  <si>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</si>
  <si>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</si>
  <si>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</si>
  <si>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</si>
  <si>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</si>
  <si>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</si>
  <si>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</si>
  <si>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</si>
  <si>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</si>
  <si>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</si>
  <si>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</si>
  <si>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</si>
  <si>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</si>
  <si>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</si>
  <si>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</si>
  <si>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S25</t>
  </si>
  <si>
    <t xml:space="preserve">S26</t>
  </si>
  <si>
    <t xml:space="preserve">S27</t>
  </si>
  <si>
    <t xml:space="preserve">S28</t>
  </si>
  <si>
    <t xml:space="preserve">S29</t>
  </si>
  <si>
    <t xml:space="preserve">S30</t>
  </si>
  <si>
    <t xml:space="preserve">S31</t>
  </si>
  <si>
    <t xml:space="preserve">S32</t>
  </si>
  <si>
    <t xml:space="preserve">S33</t>
  </si>
  <si>
    <t xml:space="preserve">S34</t>
  </si>
  <si>
    <t xml:space="preserve">S35</t>
  </si>
  <si>
    <t xml:space="preserve">S36</t>
  </si>
  <si>
    <t xml:space="preserve">S37</t>
  </si>
  <si>
    <t xml:space="preserve">S38</t>
  </si>
  <si>
    <t xml:space="preserve">S39</t>
  </si>
  <si>
    <t xml:space="preserve">S40</t>
  </si>
  <si>
    <t xml:space="preserve">S41</t>
  </si>
  <si>
    <t xml:space="preserve">S42</t>
  </si>
  <si>
    <t xml:space="preserve">S43</t>
  </si>
  <si>
    <t xml:space="preserve">S44</t>
  </si>
  <si>
    <t xml:space="preserve">S45</t>
  </si>
  <si>
    <t xml:space="preserve">EDT</t>
  </si>
  <si>
    <t xml:space="preserve">Entregable / hito</t>
  </si>
  <si>
    <t xml:space="preserve">1.0</t>
  </si>
  <si>
    <t xml:space="preserve">Gestión del proyecto</t>
  </si>
  <si>
    <t xml:space="preserve">Diagnóstico y requisitos</t>
  </si>
  <si>
    <t xml:space="preserve">Diseño de la solución</t>
  </si>
  <si>
    <t xml:space="preserve">Plataforma base</t>
  </si>
  <si>
    <t xml:space="preserve">Integraciones corporativas</t>
  </si>
  <si>
    <t xml:space="preserve">Release 1: operación de obra</t>
  </si>
  <si>
    <t xml:space="preserve">Release 2: control económico</t>
  </si>
  <si>
    <t xml:space="preserve">Pruebas y calidad</t>
  </si>
  <si>
    <t xml:space="preserve">Piloto y gestión del cambio</t>
  </si>
  <si>
    <t xml:space="preserve">Transición a operación</t>
  </si>
  <si>
    <t xml:space="preserve">◆ Kick-off realizado</t>
  </si>
  <si>
    <t xml:space="preserve">◆ Alcance aprobado</t>
  </si>
  <si>
    <t xml:space="preserve">◆ Diseño de solución aprobado</t>
  </si>
  <si>
    <t xml:space="preserve">◆ Plataforma base operativa</t>
  </si>
  <si>
    <t xml:space="preserve">◆ Release 1 aceptada</t>
  </si>
  <si>
    <t xml:space="preserve">◆ Release 1 en operación en las 3 obras</t>
  </si>
  <si>
    <t xml:space="preserve">◆ Release 2 aceptada</t>
  </si>
  <si>
    <t xml:space="preserve">◆ Release 2 en operación en las 3 obras</t>
  </si>
  <si>
    <t xml:space="preserve">◆ Evaluación del piloto aprobada</t>
  </si>
  <si>
    <t xml:space="preserve">◆ Cierre formal del proyecto</t>
  </si>
  <si>
    <t xml:space="preserve">Barras azules = período del entregable (nivel 2 EDT) calculado desde el Cronograma · naranjo = semana del hito · rosado = semana de la fecha límite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</si>
</sst>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#,##0"/>
    <numFmt numFmtId="167" formatCode="dd\-mm\-yyyy"/>
    <numFmt numFmtId="168" formatCode="mmm\-yy"/>
    <numFmt numFmtId="169" formatCode="dd\-mmm"/>
    <numFmt numFmtId="170" formatCode="dd\-mm\-yy"/>
  </numFmts>
  <fonts count="18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b val="true"/>
      <sz val="11"/>
      <color rgb="FF17365D"/>
      <name val="Calibri"/>
      <family val="0"/>
      <charset val="1"/>
    </font>
    <font>
      <b val="true"/>
      <sz val="11"/>
      <color rgb="FF17365D"/>
      <name val="Cambria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C55A11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11"/>
      <color rgb="FF1F4E78"/>
      <name val="Cambria"/>
      <family val="0"/>
      <charset val="1"/>
    </font>
    <font>
      <b val="true"/>
      <sz val="11"/>
      <color rgb="FFC00000"/>
      <name val="Cambria"/>
      <family val="0"/>
      <charset val="1"/>
    </font>
    <font>
      <b val="true"/>
      <sz val="9"/>
      <color rgb="FF17365D"/>
      <name val="Cambria"/>
      <family val="0"/>
      <charset val="1"/>
    </font>
    <font>
      <b val="true"/>
      <sz val="9"/>
      <color rgb="FFC00000"/>
      <name val="Cambria"/>
      <family val="0"/>
      <charset val="1"/>
    </font>
    <font>
      <sz val="9"/>
      <color rgb="FF000000"/>
      <name val="Cambria"/>
      <family val="0"/>
      <charset val="1"/>
    </font>
    <font>
      <b val="true"/>
      <sz val="9"/>
      <color rgb="FFC55A11"/>
      <name val="Cambria"/>
      <family val="0"/>
      <charset val="1"/>
    </font>
    <font>
      <i val="true"/>
      <sz val="9"/>
      <name val="Cambria"/>
      <family val="0"/>
      <charset val="1"/>
    </font>
    <font>
      <sz val="8"/>
      <color rgb="FF17365D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D9EAF7"/>
        <bgColor rgb="FFE7E6E6"/>
      </patternFill>
    </fill>
    <fill>
      <patternFill patternType="solid">
        <fgColor rgb="FFFFF2CC"/>
        <bgColor rgb="FFE2F0D9"/>
      </patternFill>
    </fill>
    <fill>
      <patternFill patternType="solid">
        <fgColor rgb="FFEEF6FC"/>
        <bgColor rgb="FFFFFFFF"/>
      </patternFill>
    </fill>
    <fill>
      <patternFill patternType="solid">
        <fgColor rgb="FFE2F0D9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top" textRotation="0" wrapText="true" indent="0" shrinkToFit="false"/>
      <protection locked="true" hidden="false"/>
    </xf>
    <xf numFmtId="165" fontId="0" fillId="6" borderId="0" xfId="0" applyFont="false" applyBorder="fals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5" fontId="8" fillId="6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5" borderId="0" xfId="0" applyFont="false" applyBorder="fals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true" applyProtection="false">
      <alignment horizontal="center" vertical="center" textRotation="9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ED7D31"/>
        </patternFill>
      </fill>
    </dxf>
    <dxf>
      <fill>
        <patternFill>
          <bgColor rgb="FFC00000"/>
        </patternFill>
      </fill>
    </dxf>
    <dxf>
      <fill>
        <patternFill>
          <bgColor rgb="FF5B9BD5"/>
        </patternFill>
      </fill>
    </dxf>
    <dxf>
      <fill>
        <patternFill>
          <bgColor rgb="FFFF7C80"/>
        </patternFill>
      </fill>
    </dxf>
    <dxf>
      <fill>
        <patternFill>
          <bgColor rgb="FFE7E6E6"/>
        </patternFill>
      </fill>
    </dxf>
    <dxf>
      <fill>
        <patternFill>
          <bgColor rgb="FF1F4E78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2CC"/>
      <rgbColor rgb="FFD9EAF7"/>
      <rgbColor rgb="FF660066"/>
      <rgbColor rgb="FFFF7C80"/>
      <rgbColor rgb="FF0066CC"/>
      <rgbColor rgb="FFE7E6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6FC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17365D"/>
      <rgbColor rgb="FF339966"/>
      <rgbColor rgb="FF003300"/>
      <rgbColor rgb="FF333300"/>
      <rgbColor rgb="FFC55A11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1" activeCellId="0" sqref="A1"/>
    </sheetView>
  </sheetViews>
  <sheetFormatPr defaultColWidth="8.66796875" defaultRowHeight="13.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8" min="4" style="0" width="15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3.5" hidden="false" customHeight="fals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4.9" hidden="false" customHeight="false" outlineLevel="0" collapsed="false">
      <c r="A3" s="3" t="s">
        <v>1</v>
      </c>
      <c r="B3" s="3"/>
      <c r="C3" s="3"/>
      <c r="D3" s="3"/>
      <c r="E3" s="3"/>
      <c r="F3" s="3"/>
      <c r="G3" s="3"/>
      <c r="H3" s="3"/>
    </row>
    <row r="4" customFormat="false" ht="126" hidden="false" customHeight="true" outlineLevel="0" collapsed="false">
      <c r="A4" s="2" t="s">
        <v>2</v>
      </c>
      <c r="B4" s="2"/>
      <c r="C4" s="2"/>
      <c r="D4" s="2"/>
      <c r="E4" s="2"/>
      <c r="F4" s="2"/>
      <c r="G4" s="2"/>
      <c r="H4" s="2"/>
    </row>
    <row r="5" customFormat="false" ht="27.75" hidden="false" customHeight="true" outlineLevel="0" collapsed="false">
      <c r="A5" s="3" t="s">
        <v>3</v>
      </c>
      <c r="B5" s="3"/>
      <c r="C5" s="3"/>
      <c r="D5" s="3"/>
      <c r="E5" s="3"/>
      <c r="F5" s="3"/>
      <c r="G5" s="3"/>
      <c r="H5" s="3"/>
    </row>
    <row r="6" customFormat="false" ht="14.9" hidden="false" customHeight="false" outlineLevel="0" collapsed="false">
      <c r="A6" s="2" t="s">
        <v>4</v>
      </c>
      <c r="B6" s="2" t="s">
        <v>5</v>
      </c>
      <c r="C6" s="2" t="s">
        <v>6</v>
      </c>
      <c r="D6" s="2"/>
      <c r="E6" s="2"/>
      <c r="F6" s="2"/>
      <c r="G6" s="2"/>
      <c r="H6" s="2"/>
    </row>
    <row r="7" customFormat="false" ht="27.75" hidden="false" customHeight="true" outlineLevel="0" collapsed="false">
      <c r="A7" s="2" t="s">
        <v>7</v>
      </c>
      <c r="B7" s="2" t="s">
        <v>8</v>
      </c>
      <c r="C7" s="2" t="s">
        <v>9</v>
      </c>
      <c r="D7" s="2"/>
      <c r="E7" s="2"/>
      <c r="F7" s="2"/>
      <c r="G7" s="2"/>
      <c r="H7" s="2"/>
    </row>
    <row r="8" customFormat="false" ht="27.75" hidden="false" customHeight="true" outlineLevel="0" collapsed="false">
      <c r="A8" s="2" t="s">
        <v>10</v>
      </c>
      <c r="B8" s="2" t="s">
        <v>11</v>
      </c>
      <c r="C8" s="2" t="s">
        <v>12</v>
      </c>
      <c r="D8" s="2"/>
      <c r="E8" s="2"/>
      <c r="F8" s="2"/>
      <c r="G8" s="2"/>
      <c r="H8" s="2"/>
    </row>
    <row r="9" customFormat="false" ht="42" hidden="false" customHeight="true" outlineLevel="0" collapsed="false">
      <c r="A9" s="2" t="s">
        <v>13</v>
      </c>
      <c r="B9" s="2" t="s">
        <v>14</v>
      </c>
      <c r="C9" s="2" t="s">
        <v>15</v>
      </c>
      <c r="D9" s="2"/>
      <c r="E9" s="2"/>
      <c r="F9" s="2"/>
      <c r="G9" s="2"/>
      <c r="H9" s="2"/>
    </row>
    <row r="10" customFormat="false" ht="27.75" hidden="false" customHeight="true" outlineLevel="0" collapsed="false">
      <c r="A10" s="2" t="s">
        <v>16</v>
      </c>
      <c r="B10" s="2" t="s">
        <v>17</v>
      </c>
      <c r="C10" s="2" t="s">
        <v>18</v>
      </c>
      <c r="D10" s="2"/>
      <c r="E10" s="2"/>
      <c r="F10" s="2"/>
      <c r="G10" s="2"/>
      <c r="H10" s="2"/>
    </row>
    <row r="11" customFormat="false" ht="14.9" hidden="false" customHeight="false" outlineLevel="0" collapsed="false">
      <c r="A11" s="2" t="s">
        <v>19</v>
      </c>
      <c r="B11" s="2" t="s">
        <v>20</v>
      </c>
      <c r="C11" s="2" t="s">
        <v>21</v>
      </c>
      <c r="D11" s="2"/>
      <c r="E11" s="2"/>
      <c r="F11" s="2"/>
      <c r="G11" s="2"/>
      <c r="H11" s="2"/>
    </row>
    <row r="12" customFormat="false" ht="69.75" hidden="false" customHeight="true" outlineLevel="0" collapsed="false">
      <c r="A12" s="4" t="s">
        <v>22</v>
      </c>
      <c r="B12" s="4" t="s">
        <v>23</v>
      </c>
      <c r="C12" s="4"/>
      <c r="D12" s="4"/>
      <c r="E12" s="4"/>
      <c r="F12" s="4"/>
      <c r="G12" s="4"/>
      <c r="H12" s="4"/>
    </row>
    <row r="14" customFormat="false" ht="30" hidden="false" customHeight="true" outlineLevel="0" collapsed="false">
      <c r="A14" s="5" t="s">
        <v>24</v>
      </c>
      <c r="B14" s="6" t="s">
        <v>25</v>
      </c>
      <c r="C14" s="6"/>
      <c r="D14" s="6"/>
      <c r="E14" s="6"/>
      <c r="F14" s="6"/>
      <c r="G14" s="6"/>
      <c r="H14" s="6"/>
    </row>
    <row r="15" customFormat="false" ht="30" hidden="false" customHeight="true" outlineLevel="0" collapsed="false">
      <c r="A15" s="5" t="s">
        <v>26</v>
      </c>
      <c r="B15" s="6" t="s">
        <v>27</v>
      </c>
      <c r="C15" s="6"/>
      <c r="D15" s="6"/>
      <c r="E15" s="6"/>
      <c r="F15" s="6"/>
      <c r="G15" s="6"/>
      <c r="H15" s="6"/>
    </row>
    <row r="16" customFormat="false" ht="43.5" hidden="false" customHeight="true" outlineLevel="0" collapsed="false">
      <c r="A16" s="5" t="s">
        <v>28</v>
      </c>
      <c r="B16" s="6" t="s">
        <v>29</v>
      </c>
      <c r="C16" s="6"/>
      <c r="D16" s="6"/>
      <c r="E16" s="6"/>
      <c r="F16" s="6"/>
      <c r="G16" s="6"/>
      <c r="H16" s="6"/>
    </row>
    <row r="17" customFormat="false" ht="43.5" hidden="false" customHeight="true" outlineLevel="0" collapsed="false">
      <c r="A17" s="5" t="s">
        <v>30</v>
      </c>
      <c r="B17" s="6" t="s">
        <v>31</v>
      </c>
      <c r="C17" s="6"/>
      <c r="D17" s="6"/>
      <c r="E17" s="6"/>
      <c r="F17" s="6"/>
      <c r="G17" s="6"/>
      <c r="H17" s="6"/>
    </row>
    <row r="18" customFormat="false" ht="43.5" hidden="false" customHeight="true" outlineLevel="0" collapsed="false">
      <c r="A18" s="5" t="s">
        <v>32</v>
      </c>
      <c r="B18" s="6" t="s">
        <v>33</v>
      </c>
      <c r="C18" s="6"/>
      <c r="D18" s="6"/>
      <c r="E18" s="6"/>
      <c r="F18" s="6"/>
      <c r="G18" s="6"/>
      <c r="H18" s="6"/>
    </row>
  </sheetData>
  <mergeCells count="6">
    <mergeCell ref="A1:H1"/>
    <mergeCell ref="B14:H14"/>
    <mergeCell ref="B15:H15"/>
    <mergeCell ref="B16:H16"/>
    <mergeCell ref="B17:H17"/>
    <mergeCell ref="B18:H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6796875" defaultRowHeight="13.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34"/>
    <col collapsed="false" customWidth="true" hidden="false" outlineLevel="0" max="4" min="4" style="0" width="32"/>
    <col collapsed="false" customWidth="true" hidden="false" outlineLevel="0" max="5" min="5" style="0" width="22"/>
    <col collapsed="false" customWidth="true" hidden="false" outlineLevel="0" max="6" min="6" style="0" width="32"/>
    <col collapsed="false" customWidth="true" hidden="false" outlineLevel="0" max="7" min="7" style="0" width="28"/>
  </cols>
  <sheetData>
    <row r="1" customFormat="false" ht="19.5" hidden="false" customHeight="true" outlineLevel="0" collapsed="false">
      <c r="A1" s="7" t="s">
        <v>34</v>
      </c>
      <c r="B1" s="7"/>
      <c r="C1" s="7"/>
      <c r="D1" s="7"/>
      <c r="E1" s="7"/>
      <c r="F1" s="7"/>
      <c r="G1" s="7"/>
    </row>
    <row r="3" customFormat="false" ht="14.9" hidden="false" customHeight="false" outlineLevel="0" collapsed="false">
      <c r="A3" s="8" t="s">
        <v>35</v>
      </c>
      <c r="B3" s="8" t="s">
        <v>36</v>
      </c>
      <c r="C3" s="8" t="s">
        <v>37</v>
      </c>
      <c r="D3" s="8" t="s">
        <v>38</v>
      </c>
      <c r="E3" s="8" t="s">
        <v>39</v>
      </c>
      <c r="F3" s="8" t="s">
        <v>40</v>
      </c>
      <c r="G3" s="8" t="s">
        <v>41</v>
      </c>
    </row>
    <row r="4" customFormat="false" ht="30.75" hidden="false" customHeight="true" outlineLevel="0" collapsed="false">
      <c r="A4" s="9" t="s">
        <v>42</v>
      </c>
      <c r="B4" s="9" t="s">
        <v>43</v>
      </c>
      <c r="C4" s="9" t="s">
        <v>44</v>
      </c>
      <c r="D4" s="9" t="s">
        <v>45</v>
      </c>
      <c r="E4" s="9" t="s">
        <v>46</v>
      </c>
      <c r="F4" s="9" t="s">
        <v>47</v>
      </c>
      <c r="G4" s="9" t="s">
        <v>48</v>
      </c>
    </row>
    <row r="5" customFormat="false" ht="30.75" hidden="false" customHeight="true" outlineLevel="0" collapsed="false">
      <c r="A5" s="10" t="s">
        <v>42</v>
      </c>
      <c r="B5" s="10" t="s">
        <v>49</v>
      </c>
      <c r="C5" s="10" t="s">
        <v>50</v>
      </c>
      <c r="D5" s="10" t="s">
        <v>51</v>
      </c>
      <c r="E5" s="10" t="s">
        <v>52</v>
      </c>
      <c r="F5" s="10" t="s">
        <v>53</v>
      </c>
      <c r="G5" s="10" t="s">
        <v>54</v>
      </c>
    </row>
    <row r="6" customFormat="false" ht="30.75" hidden="false" customHeight="true" outlineLevel="0" collapsed="false">
      <c r="A6" s="9" t="s">
        <v>42</v>
      </c>
      <c r="B6" s="9" t="s">
        <v>55</v>
      </c>
      <c r="C6" s="9" t="s">
        <v>56</v>
      </c>
      <c r="D6" s="9" t="s">
        <v>57</v>
      </c>
      <c r="E6" s="9" t="s">
        <v>46</v>
      </c>
      <c r="F6" s="9" t="s">
        <v>58</v>
      </c>
      <c r="G6" s="9" t="s">
        <v>48</v>
      </c>
    </row>
    <row r="7" customFormat="false" ht="43.5" hidden="false" customHeight="true" outlineLevel="0" collapsed="false">
      <c r="A7" s="9" t="s">
        <v>59</v>
      </c>
      <c r="B7" s="9" t="s">
        <v>60</v>
      </c>
      <c r="C7" s="9" t="s">
        <v>61</v>
      </c>
      <c r="D7" s="9" t="s">
        <v>62</v>
      </c>
      <c r="E7" s="9" t="s">
        <v>46</v>
      </c>
      <c r="F7" s="9" t="s">
        <v>63</v>
      </c>
      <c r="G7" s="9" t="s">
        <v>64</v>
      </c>
    </row>
    <row r="8" customFormat="false" ht="30.75" hidden="false" customHeight="true" outlineLevel="0" collapsed="false">
      <c r="A8" s="9" t="s">
        <v>65</v>
      </c>
      <c r="B8" s="9" t="s">
        <v>66</v>
      </c>
      <c r="C8" s="9" t="s">
        <v>67</v>
      </c>
      <c r="D8" s="9" t="s">
        <v>68</v>
      </c>
      <c r="E8" s="9" t="s">
        <v>46</v>
      </c>
      <c r="F8" s="9" t="s">
        <v>69</v>
      </c>
      <c r="G8" s="9" t="s">
        <v>70</v>
      </c>
    </row>
    <row r="9" customFormat="false" ht="30.75" hidden="false" customHeight="true" outlineLevel="0" collapsed="false">
      <c r="A9" s="10" t="s">
        <v>65</v>
      </c>
      <c r="B9" s="10" t="s">
        <v>71</v>
      </c>
      <c r="C9" s="10" t="s">
        <v>72</v>
      </c>
      <c r="D9" s="10" t="s">
        <v>73</v>
      </c>
      <c r="E9" s="10" t="s">
        <v>52</v>
      </c>
      <c r="F9" s="10" t="s">
        <v>68</v>
      </c>
      <c r="G9" s="10" t="s">
        <v>74</v>
      </c>
    </row>
    <row r="10" customFormat="false" ht="43.5" hidden="false" customHeight="true" outlineLevel="0" collapsed="false">
      <c r="A10" s="9" t="s">
        <v>75</v>
      </c>
      <c r="B10" s="9" t="s">
        <v>76</v>
      </c>
      <c r="C10" s="9" t="s">
        <v>77</v>
      </c>
      <c r="D10" s="9" t="s">
        <v>78</v>
      </c>
      <c r="E10" s="9" t="s">
        <v>79</v>
      </c>
      <c r="F10" s="9" t="s">
        <v>80</v>
      </c>
      <c r="G10" s="9" t="s">
        <v>81</v>
      </c>
    </row>
    <row r="11" customFormat="false" ht="30.75" hidden="false" customHeight="true" outlineLevel="0" collapsed="false">
      <c r="A11" s="9" t="s">
        <v>75</v>
      </c>
      <c r="B11" s="9" t="s">
        <v>82</v>
      </c>
      <c r="C11" s="9" t="s">
        <v>83</v>
      </c>
      <c r="D11" s="9" t="s">
        <v>84</v>
      </c>
      <c r="E11" s="9" t="s">
        <v>85</v>
      </c>
      <c r="F11" s="9" t="s">
        <v>86</v>
      </c>
      <c r="G11" s="9" t="s">
        <v>87</v>
      </c>
    </row>
    <row r="12" customFormat="false" ht="43.5" hidden="false" customHeight="true" outlineLevel="0" collapsed="false">
      <c r="A12" s="9" t="s">
        <v>88</v>
      </c>
      <c r="B12" s="9" t="s">
        <v>89</v>
      </c>
      <c r="C12" s="9" t="s">
        <v>90</v>
      </c>
      <c r="D12" s="9" t="s">
        <v>91</v>
      </c>
      <c r="E12" s="9" t="s">
        <v>85</v>
      </c>
      <c r="F12" s="9" t="s">
        <v>92</v>
      </c>
      <c r="G12" s="9" t="s">
        <v>93</v>
      </c>
    </row>
    <row r="13" customFormat="false" ht="43.5" hidden="false" customHeight="true" outlineLevel="0" collapsed="false">
      <c r="A13" s="9" t="s">
        <v>88</v>
      </c>
      <c r="B13" s="9" t="s">
        <v>94</v>
      </c>
      <c r="C13" s="9" t="s">
        <v>95</v>
      </c>
      <c r="D13" s="9" t="s">
        <v>96</v>
      </c>
      <c r="E13" s="9" t="s">
        <v>97</v>
      </c>
      <c r="F13" s="9" t="s">
        <v>98</v>
      </c>
      <c r="G13" s="9" t="s">
        <v>93</v>
      </c>
    </row>
    <row r="14" customFormat="false" ht="43.5" hidden="false" customHeight="true" outlineLevel="0" collapsed="false">
      <c r="A14" s="9" t="s">
        <v>88</v>
      </c>
      <c r="B14" s="9" t="s">
        <v>99</v>
      </c>
      <c r="C14" s="9" t="s">
        <v>100</v>
      </c>
      <c r="D14" s="9" t="s">
        <v>101</v>
      </c>
      <c r="E14" s="9" t="s">
        <v>102</v>
      </c>
      <c r="F14" s="9" t="s">
        <v>103</v>
      </c>
      <c r="G14" s="9" t="s">
        <v>93</v>
      </c>
    </row>
    <row r="15" customFormat="false" ht="43.5" hidden="false" customHeight="true" outlineLevel="0" collapsed="false">
      <c r="A15" s="10" t="s">
        <v>88</v>
      </c>
      <c r="B15" s="10" t="s">
        <v>104</v>
      </c>
      <c r="C15" s="10" t="s">
        <v>105</v>
      </c>
      <c r="D15" s="10" t="s">
        <v>106</v>
      </c>
      <c r="E15" s="10" t="s">
        <v>107</v>
      </c>
      <c r="F15" s="10" t="s">
        <v>108</v>
      </c>
      <c r="G15" s="10" t="s">
        <v>109</v>
      </c>
    </row>
    <row r="16" customFormat="false" ht="43.5" hidden="false" customHeight="true" outlineLevel="0" collapsed="false">
      <c r="A16" s="9" t="s">
        <v>110</v>
      </c>
      <c r="B16" s="9" t="s">
        <v>111</v>
      </c>
      <c r="C16" s="9" t="s">
        <v>112</v>
      </c>
      <c r="D16" s="9" t="s">
        <v>113</v>
      </c>
      <c r="E16" s="9" t="s">
        <v>114</v>
      </c>
      <c r="F16" s="9" t="s">
        <v>115</v>
      </c>
      <c r="G16" s="9" t="s">
        <v>116</v>
      </c>
    </row>
    <row r="17" customFormat="false" ht="43.5" hidden="false" customHeight="true" outlineLevel="0" collapsed="false">
      <c r="A17" s="9" t="s">
        <v>110</v>
      </c>
      <c r="B17" s="9" t="s">
        <v>117</v>
      </c>
      <c r="C17" s="9" t="s">
        <v>118</v>
      </c>
      <c r="D17" s="9" t="s">
        <v>119</v>
      </c>
      <c r="E17" s="9" t="s">
        <v>120</v>
      </c>
      <c r="F17" s="9" t="s">
        <v>121</v>
      </c>
      <c r="G17" s="9" t="s">
        <v>122</v>
      </c>
    </row>
    <row r="18" customFormat="false" ht="30.75" hidden="false" customHeight="true" outlineLevel="0" collapsed="false">
      <c r="A18" s="9" t="s">
        <v>123</v>
      </c>
      <c r="B18" s="9" t="s">
        <v>124</v>
      </c>
      <c r="C18" s="9" t="s">
        <v>125</v>
      </c>
      <c r="D18" s="9" t="s">
        <v>126</v>
      </c>
      <c r="E18" s="9" t="s">
        <v>127</v>
      </c>
      <c r="F18" s="9" t="s">
        <v>128</v>
      </c>
      <c r="G18" s="9" t="s">
        <v>129</v>
      </c>
    </row>
    <row r="19" customFormat="false" ht="30.75" hidden="false" customHeight="true" outlineLevel="0" collapsed="false">
      <c r="A19" s="10" t="s">
        <v>123</v>
      </c>
      <c r="B19" s="10" t="s">
        <v>130</v>
      </c>
      <c r="C19" s="10" t="s">
        <v>131</v>
      </c>
      <c r="D19" s="10" t="s">
        <v>132</v>
      </c>
      <c r="E19" s="10" t="s">
        <v>133</v>
      </c>
      <c r="F19" s="10" t="s">
        <v>134</v>
      </c>
      <c r="G19" s="10" t="s">
        <v>135</v>
      </c>
    </row>
    <row r="20" customFormat="false" ht="30.75" hidden="false" customHeight="true" outlineLevel="0" collapsed="false">
      <c r="A20" s="9" t="s">
        <v>136</v>
      </c>
      <c r="B20" s="9" t="s">
        <v>137</v>
      </c>
      <c r="C20" s="9" t="s">
        <v>138</v>
      </c>
      <c r="D20" s="9" t="s">
        <v>139</v>
      </c>
      <c r="E20" s="9" t="s">
        <v>140</v>
      </c>
      <c r="F20" s="9" t="s">
        <v>141</v>
      </c>
      <c r="G20" s="9" t="s">
        <v>142</v>
      </c>
    </row>
    <row r="21" customFormat="false" ht="30.75" hidden="false" customHeight="true" outlineLevel="0" collapsed="false">
      <c r="A21" s="9" t="s">
        <v>143</v>
      </c>
      <c r="B21" s="9" t="s">
        <v>144</v>
      </c>
      <c r="C21" s="9" t="s">
        <v>145</v>
      </c>
      <c r="D21" s="9" t="s">
        <v>146</v>
      </c>
      <c r="E21" s="9" t="s">
        <v>147</v>
      </c>
      <c r="F21" s="9" t="s">
        <v>148</v>
      </c>
      <c r="G21" s="9" t="s">
        <v>149</v>
      </c>
    </row>
    <row r="22" customFormat="false" ht="30.75" hidden="false" customHeight="true" outlineLevel="0" collapsed="false">
      <c r="A22" s="9" t="s">
        <v>143</v>
      </c>
      <c r="B22" s="9" t="s">
        <v>150</v>
      </c>
      <c r="C22" s="9" t="s">
        <v>151</v>
      </c>
      <c r="D22" s="9" t="s">
        <v>152</v>
      </c>
      <c r="E22" s="9" t="s">
        <v>153</v>
      </c>
      <c r="F22" s="9" t="s">
        <v>154</v>
      </c>
      <c r="G22" s="9" t="s">
        <v>149</v>
      </c>
    </row>
    <row r="23" customFormat="false" ht="30.75" hidden="false" customHeight="true" outlineLevel="0" collapsed="false">
      <c r="A23" s="10" t="s">
        <v>143</v>
      </c>
      <c r="B23" s="10" t="s">
        <v>155</v>
      </c>
      <c r="C23" s="10" t="s">
        <v>156</v>
      </c>
      <c r="D23" s="10" t="s">
        <v>157</v>
      </c>
      <c r="E23" s="10" t="s">
        <v>158</v>
      </c>
      <c r="F23" s="10" t="s">
        <v>159</v>
      </c>
      <c r="G23" s="10" t="s">
        <v>160</v>
      </c>
    </row>
    <row r="24" customFormat="false" ht="43.5" hidden="false" customHeight="true" outlineLevel="0" collapsed="false">
      <c r="A24" s="9" t="s">
        <v>161</v>
      </c>
      <c r="B24" s="9" t="s">
        <v>162</v>
      </c>
      <c r="C24" s="9" t="s">
        <v>163</v>
      </c>
      <c r="D24" s="9" t="s">
        <v>164</v>
      </c>
      <c r="E24" s="9" t="s">
        <v>114</v>
      </c>
      <c r="F24" s="9" t="s">
        <v>165</v>
      </c>
      <c r="G24" s="9" t="s">
        <v>166</v>
      </c>
    </row>
    <row r="25" customFormat="false" ht="30.75" hidden="false" customHeight="true" outlineLevel="0" collapsed="false">
      <c r="A25" s="9" t="s">
        <v>167</v>
      </c>
      <c r="B25" s="9" t="s">
        <v>168</v>
      </c>
      <c r="C25" s="9" t="s">
        <v>169</v>
      </c>
      <c r="D25" s="9" t="s">
        <v>170</v>
      </c>
      <c r="E25" s="9" t="s">
        <v>114</v>
      </c>
      <c r="F25" s="9" t="s">
        <v>171</v>
      </c>
      <c r="G25" s="9" t="s">
        <v>172</v>
      </c>
    </row>
    <row r="26" customFormat="false" ht="30.75" hidden="false" customHeight="true" outlineLevel="0" collapsed="false">
      <c r="A26" s="9" t="s">
        <v>167</v>
      </c>
      <c r="B26" s="9" t="s">
        <v>173</v>
      </c>
      <c r="C26" s="9" t="s">
        <v>174</v>
      </c>
      <c r="D26" s="9" t="s">
        <v>175</v>
      </c>
      <c r="E26" s="9" t="s">
        <v>114</v>
      </c>
      <c r="F26" s="9" t="s">
        <v>176</v>
      </c>
      <c r="G26" s="9" t="s">
        <v>172</v>
      </c>
    </row>
    <row r="27" customFormat="false" ht="43.5" hidden="false" customHeight="true" outlineLevel="0" collapsed="false">
      <c r="A27" s="9" t="s">
        <v>177</v>
      </c>
      <c r="B27" s="9" t="s">
        <v>178</v>
      </c>
      <c r="C27" s="9" t="s">
        <v>179</v>
      </c>
      <c r="D27" s="9" t="s">
        <v>180</v>
      </c>
      <c r="E27" s="9" t="s">
        <v>147</v>
      </c>
      <c r="F27" s="9" t="s">
        <v>181</v>
      </c>
      <c r="G27" s="9" t="s">
        <v>182</v>
      </c>
    </row>
    <row r="28" customFormat="false" ht="30.75" hidden="false" customHeight="true" outlineLevel="0" collapsed="false">
      <c r="A28" s="9" t="s">
        <v>177</v>
      </c>
      <c r="B28" s="9" t="s">
        <v>183</v>
      </c>
      <c r="C28" s="9" t="s">
        <v>184</v>
      </c>
      <c r="D28" s="9" t="s">
        <v>185</v>
      </c>
      <c r="E28" s="9" t="s">
        <v>153</v>
      </c>
      <c r="F28" s="9" t="s">
        <v>186</v>
      </c>
      <c r="G28" s="9" t="s">
        <v>187</v>
      </c>
    </row>
    <row r="29" customFormat="false" ht="43.5" hidden="false" customHeight="true" outlineLevel="0" collapsed="false">
      <c r="A29" s="9" t="s">
        <v>188</v>
      </c>
      <c r="B29" s="9" t="s">
        <v>189</v>
      </c>
      <c r="C29" s="9" t="s">
        <v>190</v>
      </c>
      <c r="D29" s="9" t="s">
        <v>191</v>
      </c>
      <c r="E29" s="9" t="s">
        <v>192</v>
      </c>
      <c r="F29" s="9" t="s">
        <v>193</v>
      </c>
      <c r="G29" s="9" t="s">
        <v>194</v>
      </c>
    </row>
    <row r="30" customFormat="false" ht="43.5" hidden="false" customHeight="true" outlineLevel="0" collapsed="false">
      <c r="A30" s="9" t="s">
        <v>195</v>
      </c>
      <c r="B30" s="9" t="s">
        <v>196</v>
      </c>
      <c r="C30" s="9" t="s">
        <v>197</v>
      </c>
      <c r="D30" s="9" t="s">
        <v>198</v>
      </c>
      <c r="E30" s="9" t="s">
        <v>192</v>
      </c>
      <c r="F30" s="9" t="s">
        <v>199</v>
      </c>
      <c r="G30" s="9" t="s">
        <v>194</v>
      </c>
    </row>
    <row r="31" customFormat="false" ht="43.5" hidden="false" customHeight="true" outlineLevel="0" collapsed="false">
      <c r="A31" s="9" t="s">
        <v>200</v>
      </c>
      <c r="B31" s="9" t="s">
        <v>201</v>
      </c>
      <c r="C31" s="9" t="s">
        <v>202</v>
      </c>
      <c r="D31" s="9" t="s">
        <v>203</v>
      </c>
      <c r="E31" s="9" t="s">
        <v>192</v>
      </c>
      <c r="F31" s="9" t="s">
        <v>204</v>
      </c>
      <c r="G31" s="9" t="s">
        <v>205</v>
      </c>
    </row>
    <row r="32" customFormat="false" ht="43.5" hidden="false" customHeight="true" outlineLevel="0" collapsed="false">
      <c r="A32" s="9" t="s">
        <v>206</v>
      </c>
      <c r="B32" s="9" t="s">
        <v>207</v>
      </c>
      <c r="C32" s="9" t="s">
        <v>208</v>
      </c>
      <c r="D32" s="9" t="s">
        <v>209</v>
      </c>
      <c r="E32" s="9" t="s">
        <v>192</v>
      </c>
      <c r="F32" s="9" t="s">
        <v>210</v>
      </c>
      <c r="G32" s="9" t="s">
        <v>194</v>
      </c>
    </row>
    <row r="33" customFormat="false" ht="30.75" hidden="false" customHeight="true" outlineLevel="0" collapsed="false">
      <c r="A33" s="9" t="s">
        <v>211</v>
      </c>
      <c r="B33" s="9" t="s">
        <v>212</v>
      </c>
      <c r="C33" s="9" t="s">
        <v>213</v>
      </c>
      <c r="D33" s="9" t="s">
        <v>214</v>
      </c>
      <c r="E33" s="9" t="s">
        <v>97</v>
      </c>
      <c r="F33" s="9" t="s">
        <v>215</v>
      </c>
      <c r="G33" s="9" t="s">
        <v>216</v>
      </c>
    </row>
    <row r="34" customFormat="false" ht="43.5" hidden="false" customHeight="true" outlineLevel="0" collapsed="false">
      <c r="A34" s="9" t="s">
        <v>211</v>
      </c>
      <c r="B34" s="9" t="s">
        <v>217</v>
      </c>
      <c r="C34" s="9" t="s">
        <v>218</v>
      </c>
      <c r="D34" s="9" t="s">
        <v>219</v>
      </c>
      <c r="E34" s="9" t="s">
        <v>97</v>
      </c>
      <c r="F34" s="9" t="s">
        <v>220</v>
      </c>
      <c r="G34" s="9" t="s">
        <v>216</v>
      </c>
    </row>
    <row r="35" customFormat="false" ht="30.75" hidden="false" customHeight="true" outlineLevel="0" collapsed="false">
      <c r="A35" s="9" t="s">
        <v>221</v>
      </c>
      <c r="B35" s="9" t="s">
        <v>222</v>
      </c>
      <c r="C35" s="9" t="s">
        <v>223</v>
      </c>
      <c r="D35" s="9" t="s">
        <v>224</v>
      </c>
      <c r="E35" s="9" t="s">
        <v>225</v>
      </c>
      <c r="F35" s="9" t="s">
        <v>226</v>
      </c>
      <c r="G35" s="9" t="s">
        <v>227</v>
      </c>
    </row>
    <row r="36" customFormat="false" ht="82.5" hidden="false" customHeight="true" outlineLevel="0" collapsed="false">
      <c r="A36" s="9" t="s">
        <v>221</v>
      </c>
      <c r="B36" s="9" t="s">
        <v>228</v>
      </c>
      <c r="C36" s="9" t="s">
        <v>229</v>
      </c>
      <c r="D36" s="9" t="s">
        <v>230</v>
      </c>
      <c r="E36" s="9" t="s">
        <v>231</v>
      </c>
      <c r="F36" s="9" t="s">
        <v>232</v>
      </c>
      <c r="G36" s="9" t="s">
        <v>233</v>
      </c>
    </row>
    <row r="37" customFormat="false" ht="57" hidden="false" customHeight="true" outlineLevel="0" collapsed="false">
      <c r="A37" s="9" t="s">
        <v>234</v>
      </c>
      <c r="B37" s="9" t="s">
        <v>235</v>
      </c>
      <c r="C37" s="9" t="s">
        <v>236</v>
      </c>
      <c r="D37" s="9" t="s">
        <v>237</v>
      </c>
      <c r="E37" s="9" t="s">
        <v>238</v>
      </c>
      <c r="F37" s="9" t="s">
        <v>239</v>
      </c>
      <c r="G37" s="9" t="s">
        <v>240</v>
      </c>
    </row>
    <row r="38" customFormat="false" ht="43.5" hidden="false" customHeight="true" outlineLevel="0" collapsed="false">
      <c r="A38" s="9" t="s">
        <v>234</v>
      </c>
      <c r="B38" s="9" t="s">
        <v>241</v>
      </c>
      <c r="C38" s="9" t="s">
        <v>242</v>
      </c>
      <c r="D38" s="9" t="s">
        <v>243</v>
      </c>
      <c r="E38" s="9" t="s">
        <v>244</v>
      </c>
      <c r="F38" s="9" t="s">
        <v>245</v>
      </c>
      <c r="G38" s="9" t="s">
        <v>246</v>
      </c>
    </row>
    <row r="39" customFormat="false" ht="30.75" hidden="false" customHeight="true" outlineLevel="0" collapsed="false">
      <c r="A39" s="10" t="s">
        <v>234</v>
      </c>
      <c r="B39" s="10" t="s">
        <v>247</v>
      </c>
      <c r="C39" s="10" t="s">
        <v>248</v>
      </c>
      <c r="D39" s="10" t="s">
        <v>249</v>
      </c>
      <c r="E39" s="10" t="s">
        <v>250</v>
      </c>
      <c r="F39" s="10" t="s">
        <v>251</v>
      </c>
      <c r="G39" s="10" t="s">
        <v>252</v>
      </c>
    </row>
    <row r="40" customFormat="false" ht="57" hidden="false" customHeight="true" outlineLevel="0" collapsed="false">
      <c r="A40" s="9" t="s">
        <v>253</v>
      </c>
      <c r="B40" s="9" t="s">
        <v>254</v>
      </c>
      <c r="C40" s="9" t="s">
        <v>255</v>
      </c>
      <c r="D40" s="9" t="s">
        <v>256</v>
      </c>
      <c r="E40" s="9" t="s">
        <v>238</v>
      </c>
      <c r="F40" s="9" t="s">
        <v>239</v>
      </c>
      <c r="G40" s="9" t="s">
        <v>257</v>
      </c>
    </row>
    <row r="41" customFormat="false" ht="30.75" hidden="false" customHeight="true" outlineLevel="0" collapsed="false">
      <c r="A41" s="9" t="s">
        <v>253</v>
      </c>
      <c r="B41" s="9" t="s">
        <v>258</v>
      </c>
      <c r="C41" s="9" t="s">
        <v>259</v>
      </c>
      <c r="D41" s="9" t="s">
        <v>260</v>
      </c>
      <c r="E41" s="9" t="s">
        <v>140</v>
      </c>
      <c r="F41" s="9" t="s">
        <v>261</v>
      </c>
      <c r="G41" s="9" t="s">
        <v>262</v>
      </c>
    </row>
    <row r="42" customFormat="false" ht="43.5" hidden="false" customHeight="true" outlineLevel="0" collapsed="false">
      <c r="A42" s="9" t="s">
        <v>253</v>
      </c>
      <c r="B42" s="9" t="s">
        <v>263</v>
      </c>
      <c r="C42" s="9" t="s">
        <v>264</v>
      </c>
      <c r="D42" s="9" t="s">
        <v>265</v>
      </c>
      <c r="E42" s="9" t="s">
        <v>244</v>
      </c>
      <c r="F42" s="9" t="s">
        <v>266</v>
      </c>
      <c r="G42" s="9" t="s">
        <v>267</v>
      </c>
    </row>
    <row r="43" customFormat="false" ht="30.75" hidden="false" customHeight="true" outlineLevel="0" collapsed="false">
      <c r="A43" s="10" t="s">
        <v>253</v>
      </c>
      <c r="B43" s="10" t="s">
        <v>268</v>
      </c>
      <c r="C43" s="10" t="s">
        <v>269</v>
      </c>
      <c r="D43" s="10" t="s">
        <v>270</v>
      </c>
      <c r="E43" s="10" t="s">
        <v>250</v>
      </c>
      <c r="F43" s="10" t="s">
        <v>271</v>
      </c>
      <c r="G43" s="10" t="s">
        <v>272</v>
      </c>
    </row>
    <row r="44" customFormat="false" ht="57" hidden="false" customHeight="true" outlineLevel="0" collapsed="false">
      <c r="A44" s="9" t="s">
        <v>273</v>
      </c>
      <c r="B44" s="9" t="s">
        <v>274</v>
      </c>
      <c r="C44" s="9" t="s">
        <v>275</v>
      </c>
      <c r="D44" s="9" t="s">
        <v>276</v>
      </c>
      <c r="E44" s="9" t="s">
        <v>277</v>
      </c>
      <c r="F44" s="9" t="s">
        <v>278</v>
      </c>
      <c r="G44" s="9" t="s">
        <v>279</v>
      </c>
    </row>
    <row r="45" customFormat="false" ht="43.5" hidden="false" customHeight="true" outlineLevel="0" collapsed="false">
      <c r="A45" s="9" t="s">
        <v>280</v>
      </c>
      <c r="B45" s="9" t="s">
        <v>281</v>
      </c>
      <c r="C45" s="9" t="s">
        <v>282</v>
      </c>
      <c r="D45" s="9" t="s">
        <v>283</v>
      </c>
      <c r="E45" s="9" t="s">
        <v>284</v>
      </c>
      <c r="F45" s="9" t="s">
        <v>285</v>
      </c>
      <c r="G45" s="9" t="s">
        <v>286</v>
      </c>
    </row>
    <row r="46" customFormat="false" ht="30.75" hidden="false" customHeight="true" outlineLevel="0" collapsed="false">
      <c r="A46" s="9" t="s">
        <v>280</v>
      </c>
      <c r="B46" s="9" t="s">
        <v>287</v>
      </c>
      <c r="C46" s="9" t="s">
        <v>288</v>
      </c>
      <c r="D46" s="9" t="s">
        <v>289</v>
      </c>
      <c r="E46" s="9" t="s">
        <v>140</v>
      </c>
      <c r="F46" s="9" t="s">
        <v>290</v>
      </c>
      <c r="G46" s="9" t="s">
        <v>286</v>
      </c>
    </row>
    <row r="47" customFormat="false" ht="43.5" hidden="false" customHeight="true" outlineLevel="0" collapsed="false">
      <c r="A47" s="10" t="s">
        <v>280</v>
      </c>
      <c r="B47" s="10" t="s">
        <v>291</v>
      </c>
      <c r="C47" s="10" t="s">
        <v>292</v>
      </c>
      <c r="D47" s="10" t="s">
        <v>293</v>
      </c>
      <c r="E47" s="10" t="s">
        <v>294</v>
      </c>
      <c r="F47" s="10" t="s">
        <v>295</v>
      </c>
      <c r="G47" s="10" t="s">
        <v>296</v>
      </c>
    </row>
    <row r="48" customFormat="false" ht="57" hidden="false" customHeight="true" outlineLevel="0" collapsed="false">
      <c r="A48" s="9" t="s">
        <v>280</v>
      </c>
      <c r="B48" s="9" t="s">
        <v>297</v>
      </c>
      <c r="C48" s="9" t="s">
        <v>298</v>
      </c>
      <c r="D48" s="9" t="s">
        <v>299</v>
      </c>
      <c r="E48" s="9" t="s">
        <v>300</v>
      </c>
      <c r="F48" s="9" t="s">
        <v>301</v>
      </c>
      <c r="G48" s="9" t="s">
        <v>286</v>
      </c>
    </row>
    <row r="49" customFormat="false" ht="43.5" hidden="false" customHeight="true" outlineLevel="0" collapsed="false">
      <c r="A49" s="9" t="s">
        <v>302</v>
      </c>
      <c r="B49" s="9" t="s">
        <v>303</v>
      </c>
      <c r="C49" s="9" t="s">
        <v>304</v>
      </c>
      <c r="D49" s="9" t="s">
        <v>305</v>
      </c>
      <c r="E49" s="9" t="s">
        <v>284</v>
      </c>
      <c r="F49" s="9" t="s">
        <v>306</v>
      </c>
      <c r="G49" s="9" t="s">
        <v>307</v>
      </c>
    </row>
    <row r="50" customFormat="false" ht="30.75" hidden="false" customHeight="true" outlineLevel="0" collapsed="false">
      <c r="A50" s="9" t="s">
        <v>302</v>
      </c>
      <c r="B50" s="9" t="s">
        <v>308</v>
      </c>
      <c r="C50" s="9" t="s">
        <v>309</v>
      </c>
      <c r="D50" s="9" t="s">
        <v>310</v>
      </c>
      <c r="E50" s="9" t="s">
        <v>140</v>
      </c>
      <c r="F50" s="9" t="s">
        <v>290</v>
      </c>
      <c r="G50" s="9" t="s">
        <v>307</v>
      </c>
    </row>
    <row r="51" customFormat="false" ht="43.5" hidden="false" customHeight="true" outlineLevel="0" collapsed="false">
      <c r="A51" s="10" t="s">
        <v>302</v>
      </c>
      <c r="B51" s="10" t="s">
        <v>311</v>
      </c>
      <c r="C51" s="10" t="s">
        <v>312</v>
      </c>
      <c r="D51" s="10" t="s">
        <v>313</v>
      </c>
      <c r="E51" s="10" t="s">
        <v>294</v>
      </c>
      <c r="F51" s="10" t="s">
        <v>314</v>
      </c>
      <c r="G51" s="10" t="s">
        <v>315</v>
      </c>
    </row>
    <row r="52" customFormat="false" ht="96" hidden="false" customHeight="true" outlineLevel="0" collapsed="false">
      <c r="A52" s="9" t="s">
        <v>302</v>
      </c>
      <c r="B52" s="9" t="s">
        <v>316</v>
      </c>
      <c r="C52" s="9" t="s">
        <v>317</v>
      </c>
      <c r="D52" s="9" t="s">
        <v>318</v>
      </c>
      <c r="E52" s="9" t="s">
        <v>319</v>
      </c>
      <c r="F52" s="9" t="s">
        <v>320</v>
      </c>
      <c r="G52" s="9" t="s">
        <v>321</v>
      </c>
    </row>
    <row r="53" customFormat="false" ht="57" hidden="false" customHeight="true" outlineLevel="0" collapsed="false">
      <c r="A53" s="9" t="s">
        <v>322</v>
      </c>
      <c r="B53" s="9" t="s">
        <v>323</v>
      </c>
      <c r="C53" s="9" t="s">
        <v>324</v>
      </c>
      <c r="D53" s="9" t="s">
        <v>325</v>
      </c>
      <c r="E53" s="9" t="s">
        <v>326</v>
      </c>
      <c r="F53" s="9" t="s">
        <v>327</v>
      </c>
      <c r="G53" s="9" t="s">
        <v>328</v>
      </c>
    </row>
    <row r="54" customFormat="false" ht="30.75" hidden="false" customHeight="true" outlineLevel="0" collapsed="false">
      <c r="A54" s="10" t="s">
        <v>322</v>
      </c>
      <c r="B54" s="10" t="s">
        <v>329</v>
      </c>
      <c r="C54" s="10" t="s">
        <v>330</v>
      </c>
      <c r="D54" s="10" t="s">
        <v>331</v>
      </c>
      <c r="E54" s="10" t="s">
        <v>52</v>
      </c>
      <c r="F54" s="10" t="s">
        <v>332</v>
      </c>
      <c r="G54" s="10" t="s">
        <v>333</v>
      </c>
    </row>
    <row r="55" customFormat="false" ht="69.75" hidden="false" customHeight="true" outlineLevel="0" collapsed="false">
      <c r="A55" s="9" t="s">
        <v>334</v>
      </c>
      <c r="B55" s="9" t="s">
        <v>335</v>
      </c>
      <c r="C55" s="9" t="s">
        <v>336</v>
      </c>
      <c r="D55" s="9" t="s">
        <v>337</v>
      </c>
      <c r="E55" s="9" t="s">
        <v>338</v>
      </c>
      <c r="F55" s="9" t="s">
        <v>339</v>
      </c>
      <c r="G55" s="9" t="s">
        <v>340</v>
      </c>
    </row>
  </sheetData>
  <mergeCells count="1">
    <mergeCell ref="A1: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6796875" defaultRowHeight="13.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9" min="8" style="0" width="20"/>
    <col collapsed="false" customWidth="true" hidden="false" outlineLevel="0" max="10" min="10" style="0" width="22"/>
    <col collapsed="false" customWidth="true" hidden="false" outlineLevel="0" max="11" min="11" style="0" width="28"/>
  </cols>
  <sheetData>
    <row r="1" customFormat="false" ht="19.5" hidden="false" customHeight="true" outlineLevel="0" collapsed="false">
      <c r="A1" s="7" t="s">
        <v>341</v>
      </c>
      <c r="B1" s="7"/>
      <c r="C1" s="7"/>
      <c r="D1" s="7"/>
      <c r="E1" s="7"/>
      <c r="F1" s="7"/>
      <c r="G1" s="7"/>
      <c r="H1" s="7"/>
      <c r="I1" s="7"/>
      <c r="J1" s="7"/>
      <c r="K1" s="7"/>
    </row>
    <row r="3" customFormat="false" ht="27.75" hidden="false" customHeight="true" outlineLevel="0" collapsed="false">
      <c r="A3" s="8" t="s">
        <v>342</v>
      </c>
      <c r="B3" s="8" t="s">
        <v>343</v>
      </c>
      <c r="C3" s="8" t="s">
        <v>344</v>
      </c>
      <c r="D3" s="8" t="s">
        <v>345</v>
      </c>
      <c r="E3" s="8" t="s">
        <v>346</v>
      </c>
      <c r="F3" s="8" t="s">
        <v>347</v>
      </c>
      <c r="G3" s="8" t="s">
        <v>348</v>
      </c>
      <c r="H3" s="8" t="s">
        <v>349</v>
      </c>
      <c r="I3" s="8" t="s">
        <v>350</v>
      </c>
      <c r="J3" s="8" t="s">
        <v>351</v>
      </c>
      <c r="K3" s="8" t="s">
        <v>41</v>
      </c>
    </row>
    <row r="4" customFormat="false" ht="30.75" hidden="false" customHeight="true" outlineLevel="0" collapsed="false">
      <c r="A4" s="11" t="s">
        <v>43</v>
      </c>
      <c r="B4" s="9" t="s">
        <v>44</v>
      </c>
      <c r="C4" s="9" t="s">
        <v>352</v>
      </c>
      <c r="D4" s="12"/>
      <c r="E4" s="11" t="n">
        <v>32</v>
      </c>
      <c r="F4" s="11" t="n">
        <v>1</v>
      </c>
      <c r="G4" s="11" t="n">
        <v>8</v>
      </c>
      <c r="H4" s="13" t="n">
        <f aca="false">IFERROR(E4/(F4*G4),"")</f>
        <v>4</v>
      </c>
      <c r="I4" s="11" t="n">
        <v>4</v>
      </c>
      <c r="J4" s="9" t="s">
        <v>46</v>
      </c>
      <c r="K4" s="9"/>
    </row>
    <row r="5" customFormat="false" ht="18" hidden="false" customHeight="true" outlineLevel="0" collapsed="false">
      <c r="A5" s="14" t="s">
        <v>49</v>
      </c>
      <c r="B5" s="10" t="s">
        <v>50</v>
      </c>
      <c r="C5" s="10" t="s">
        <v>43</v>
      </c>
      <c r="D5" s="14" t="s">
        <v>353</v>
      </c>
      <c r="E5" s="14" t="n">
        <v>0</v>
      </c>
      <c r="F5" s="14" t="n">
        <v>0</v>
      </c>
      <c r="G5" s="14" t="n">
        <v>0</v>
      </c>
      <c r="H5" s="15" t="str">
        <f aca="false">IFERROR(E5/(F5*G5),"")</f>
        <v/>
      </c>
      <c r="I5" s="14" t="n">
        <v>0</v>
      </c>
      <c r="J5" s="10" t="s">
        <v>354</v>
      </c>
      <c r="K5" s="10"/>
    </row>
    <row r="6" customFormat="false" ht="30.75" hidden="false" customHeight="true" outlineLevel="0" collapsed="false">
      <c r="A6" s="11" t="s">
        <v>55</v>
      </c>
      <c r="B6" s="9" t="s">
        <v>56</v>
      </c>
      <c r="C6" s="9" t="s">
        <v>49</v>
      </c>
      <c r="D6" s="12" t="s">
        <v>353</v>
      </c>
      <c r="E6" s="11" t="n">
        <v>80</v>
      </c>
      <c r="F6" s="11" t="n">
        <v>1</v>
      </c>
      <c r="G6" s="11" t="n">
        <v>8</v>
      </c>
      <c r="H6" s="13" t="n">
        <f aca="false">IFERROR(E6/(F6*G6),"")</f>
        <v>10</v>
      </c>
      <c r="I6" s="11" t="n">
        <v>10</v>
      </c>
      <c r="J6" s="9" t="s">
        <v>46</v>
      </c>
      <c r="K6" s="9"/>
    </row>
    <row r="7" customFormat="false" ht="43.5" hidden="false" customHeight="true" outlineLevel="0" collapsed="false">
      <c r="A7" s="11" t="s">
        <v>60</v>
      </c>
      <c r="B7" s="9" t="s">
        <v>61</v>
      </c>
      <c r="C7" s="9" t="s">
        <v>55</v>
      </c>
      <c r="D7" s="12" t="s">
        <v>353</v>
      </c>
      <c r="E7" s="11" t="n">
        <v>664</v>
      </c>
      <c r="F7" s="11" t="n">
        <v>1</v>
      </c>
      <c r="G7" s="11" t="n">
        <v>4</v>
      </c>
      <c r="H7" s="13" t="n">
        <f aca="false">IFERROR(E7/(F7*G7),"")</f>
        <v>166</v>
      </c>
      <c r="I7" s="11" t="n">
        <v>166</v>
      </c>
      <c r="J7" s="9" t="s">
        <v>46</v>
      </c>
      <c r="K7" s="9" t="s">
        <v>355</v>
      </c>
    </row>
    <row r="8" customFormat="false" ht="30.75" hidden="false" customHeight="true" outlineLevel="0" collapsed="false">
      <c r="A8" s="11" t="s">
        <v>66</v>
      </c>
      <c r="B8" s="9" t="s">
        <v>67</v>
      </c>
      <c r="C8" s="9" t="s">
        <v>356</v>
      </c>
      <c r="D8" s="12" t="s">
        <v>353</v>
      </c>
      <c r="E8" s="11" t="n">
        <v>32</v>
      </c>
      <c r="F8" s="11" t="n">
        <v>1</v>
      </c>
      <c r="G8" s="11" t="n">
        <v>8</v>
      </c>
      <c r="H8" s="13" t="n">
        <f aca="false">IFERROR(E8/(F8*G8),"")</f>
        <v>4</v>
      </c>
      <c r="I8" s="11" t="n">
        <v>4</v>
      </c>
      <c r="J8" s="9" t="s">
        <v>46</v>
      </c>
      <c r="K8" s="9"/>
    </row>
    <row r="9" customFormat="false" ht="18" hidden="false" customHeight="true" outlineLevel="0" collapsed="false">
      <c r="A9" s="14" t="s">
        <v>71</v>
      </c>
      <c r="B9" s="10" t="s">
        <v>72</v>
      </c>
      <c r="C9" s="10" t="s">
        <v>66</v>
      </c>
      <c r="D9" s="14" t="s">
        <v>353</v>
      </c>
      <c r="E9" s="14" t="n">
        <v>0</v>
      </c>
      <c r="F9" s="14" t="n">
        <v>0</v>
      </c>
      <c r="G9" s="14" t="n">
        <v>0</v>
      </c>
      <c r="H9" s="15" t="str">
        <f aca="false">IFERROR(E9/(F9*G9),"")</f>
        <v/>
      </c>
      <c r="I9" s="14" t="n">
        <v>0</v>
      </c>
      <c r="J9" s="10" t="s">
        <v>354</v>
      </c>
      <c r="K9" s="10"/>
    </row>
    <row r="10" customFormat="false" ht="43.5" hidden="false" customHeight="true" outlineLevel="0" collapsed="false">
      <c r="A10" s="11" t="s">
        <v>76</v>
      </c>
      <c r="B10" s="9" t="s">
        <v>77</v>
      </c>
      <c r="C10" s="9" t="s">
        <v>49</v>
      </c>
      <c r="D10" s="12" t="s">
        <v>353</v>
      </c>
      <c r="E10" s="11" t="n">
        <v>96</v>
      </c>
      <c r="F10" s="11" t="n">
        <v>2</v>
      </c>
      <c r="G10" s="11" t="n">
        <v>8</v>
      </c>
      <c r="H10" s="13" t="n">
        <f aca="false">IFERROR(E10/(F10*G10),"")</f>
        <v>6</v>
      </c>
      <c r="I10" s="11" t="n">
        <v>6</v>
      </c>
      <c r="J10" s="9" t="s">
        <v>79</v>
      </c>
      <c r="K10" s="9" t="s">
        <v>81</v>
      </c>
    </row>
    <row r="11" customFormat="false" ht="30.75" hidden="false" customHeight="true" outlineLevel="0" collapsed="false">
      <c r="A11" s="11" t="s">
        <v>82</v>
      </c>
      <c r="B11" s="9" t="s">
        <v>83</v>
      </c>
      <c r="C11" s="9" t="s">
        <v>76</v>
      </c>
      <c r="D11" s="12" t="s">
        <v>353</v>
      </c>
      <c r="E11" s="11" t="n">
        <v>32</v>
      </c>
      <c r="F11" s="11" t="n">
        <v>1</v>
      </c>
      <c r="G11" s="11" t="n">
        <v>8</v>
      </c>
      <c r="H11" s="13" t="n">
        <f aca="false">IFERROR(E11/(F11*G11),"")</f>
        <v>4</v>
      </c>
      <c r="I11" s="11" t="n">
        <v>4</v>
      </c>
      <c r="J11" s="9" t="s">
        <v>85</v>
      </c>
      <c r="K11" s="9"/>
    </row>
    <row r="12" customFormat="false" ht="43.5" hidden="false" customHeight="true" outlineLevel="0" collapsed="false">
      <c r="A12" s="11" t="s">
        <v>89</v>
      </c>
      <c r="B12" s="9" t="s">
        <v>90</v>
      </c>
      <c r="C12" s="9" t="s">
        <v>82</v>
      </c>
      <c r="D12" s="12" t="s">
        <v>353</v>
      </c>
      <c r="E12" s="11" t="n">
        <v>88</v>
      </c>
      <c r="F12" s="11" t="n">
        <v>1</v>
      </c>
      <c r="G12" s="11" t="n">
        <v>8</v>
      </c>
      <c r="H12" s="13" t="n">
        <f aca="false">IFERROR(E12/(F12*G12),"")</f>
        <v>11</v>
      </c>
      <c r="I12" s="11" t="n">
        <v>11</v>
      </c>
      <c r="J12" s="9" t="s">
        <v>85</v>
      </c>
      <c r="K12" s="9"/>
    </row>
    <row r="13" customFormat="false" ht="43.5" hidden="false" customHeight="true" outlineLevel="0" collapsed="false">
      <c r="A13" s="11" t="s">
        <v>94</v>
      </c>
      <c r="B13" s="9" t="s">
        <v>95</v>
      </c>
      <c r="C13" s="9" t="s">
        <v>82</v>
      </c>
      <c r="D13" s="12" t="s">
        <v>353</v>
      </c>
      <c r="E13" s="11" t="n">
        <v>56</v>
      </c>
      <c r="F13" s="11" t="n">
        <v>1</v>
      </c>
      <c r="G13" s="11" t="n">
        <v>8</v>
      </c>
      <c r="H13" s="13" t="n">
        <f aca="false">IFERROR(E13/(F13*G13),"")</f>
        <v>7</v>
      </c>
      <c r="I13" s="11" t="n">
        <v>7</v>
      </c>
      <c r="J13" s="9" t="s">
        <v>97</v>
      </c>
      <c r="K13" s="9"/>
    </row>
    <row r="14" customFormat="false" ht="43.5" hidden="false" customHeight="true" outlineLevel="0" collapsed="false">
      <c r="A14" s="11" t="s">
        <v>99</v>
      </c>
      <c r="B14" s="9" t="s">
        <v>100</v>
      </c>
      <c r="C14" s="9" t="s">
        <v>357</v>
      </c>
      <c r="D14" s="12" t="s">
        <v>353</v>
      </c>
      <c r="E14" s="11" t="n">
        <v>16</v>
      </c>
      <c r="F14" s="11" t="n">
        <v>2</v>
      </c>
      <c r="G14" s="11" t="n">
        <v>4</v>
      </c>
      <c r="H14" s="13" t="n">
        <f aca="false">IFERROR(E14/(F14*G14),"")</f>
        <v>2</v>
      </c>
      <c r="I14" s="11" t="n">
        <v>2</v>
      </c>
      <c r="J14" s="9" t="s">
        <v>102</v>
      </c>
      <c r="K14" s="9"/>
    </row>
    <row r="15" customFormat="false" ht="18" hidden="false" customHeight="true" outlineLevel="0" collapsed="false">
      <c r="A15" s="14" t="s">
        <v>104</v>
      </c>
      <c r="B15" s="10" t="s">
        <v>105</v>
      </c>
      <c r="C15" s="10" t="s">
        <v>99</v>
      </c>
      <c r="D15" s="14" t="s">
        <v>353</v>
      </c>
      <c r="E15" s="14" t="n">
        <v>0</v>
      </c>
      <c r="F15" s="14" t="n">
        <v>0</v>
      </c>
      <c r="G15" s="14" t="n">
        <v>0</v>
      </c>
      <c r="H15" s="15" t="str">
        <f aca="false">IFERROR(E15/(F15*G15),"")</f>
        <v/>
      </c>
      <c r="I15" s="14" t="n">
        <v>0</v>
      </c>
      <c r="J15" s="10" t="s">
        <v>354</v>
      </c>
      <c r="K15" s="10"/>
    </row>
    <row r="16" customFormat="false" ht="43.5" hidden="false" customHeight="true" outlineLevel="0" collapsed="false">
      <c r="A16" s="11" t="s">
        <v>111</v>
      </c>
      <c r="B16" s="9" t="s">
        <v>112</v>
      </c>
      <c r="C16" s="9" t="s">
        <v>49</v>
      </c>
      <c r="D16" s="12" t="s">
        <v>353</v>
      </c>
      <c r="E16" s="11" t="n">
        <v>80</v>
      </c>
      <c r="F16" s="11" t="n">
        <v>1</v>
      </c>
      <c r="G16" s="11" t="n">
        <v>8</v>
      </c>
      <c r="H16" s="13" t="n">
        <f aca="false">IFERROR(E16/(F16*G16),"")</f>
        <v>10</v>
      </c>
      <c r="I16" s="11" t="n">
        <v>10</v>
      </c>
      <c r="J16" s="9" t="s">
        <v>114</v>
      </c>
      <c r="K16" s="9" t="s">
        <v>116</v>
      </c>
    </row>
    <row r="17" customFormat="false" ht="43.5" hidden="false" customHeight="true" outlineLevel="0" collapsed="false">
      <c r="A17" s="11" t="s">
        <v>117</v>
      </c>
      <c r="B17" s="9" t="s">
        <v>118</v>
      </c>
      <c r="C17" s="9" t="s">
        <v>358</v>
      </c>
      <c r="D17" s="12" t="s">
        <v>353</v>
      </c>
      <c r="E17" s="11" t="n">
        <v>152</v>
      </c>
      <c r="F17" s="11" t="n">
        <v>1</v>
      </c>
      <c r="G17" s="11" t="n">
        <v>8</v>
      </c>
      <c r="H17" s="13" t="n">
        <f aca="false">IFERROR(E17/(F17*G17),"")</f>
        <v>19</v>
      </c>
      <c r="I17" s="11" t="n">
        <v>19</v>
      </c>
      <c r="J17" s="9" t="s">
        <v>120</v>
      </c>
      <c r="K17" s="9"/>
    </row>
    <row r="18" customFormat="false" ht="30.75" hidden="false" customHeight="true" outlineLevel="0" collapsed="false">
      <c r="A18" s="11" t="s">
        <v>124</v>
      </c>
      <c r="B18" s="9" t="s">
        <v>125</v>
      </c>
      <c r="C18" s="9" t="s">
        <v>104</v>
      </c>
      <c r="D18" s="12" t="s">
        <v>353</v>
      </c>
      <c r="E18" s="11" t="n">
        <v>152</v>
      </c>
      <c r="F18" s="11" t="n">
        <v>1</v>
      </c>
      <c r="G18" s="11" t="n">
        <v>8</v>
      </c>
      <c r="H18" s="13" t="n">
        <f aca="false">IFERROR(E18/(F18*G18),"")</f>
        <v>19</v>
      </c>
      <c r="I18" s="11" t="n">
        <v>19</v>
      </c>
      <c r="J18" s="9" t="s">
        <v>127</v>
      </c>
      <c r="K18" s="9"/>
    </row>
    <row r="19" customFormat="false" ht="18" hidden="false" customHeight="true" outlineLevel="0" collapsed="false">
      <c r="A19" s="14" t="s">
        <v>130</v>
      </c>
      <c r="B19" s="10" t="s">
        <v>131</v>
      </c>
      <c r="C19" s="10" t="s">
        <v>359</v>
      </c>
      <c r="D19" s="14" t="s">
        <v>353</v>
      </c>
      <c r="E19" s="14" t="n">
        <v>0</v>
      </c>
      <c r="F19" s="14" t="n">
        <v>0</v>
      </c>
      <c r="G19" s="14" t="n">
        <v>0</v>
      </c>
      <c r="H19" s="15" t="str">
        <f aca="false">IFERROR(E19/(F19*G19),"")</f>
        <v/>
      </c>
      <c r="I19" s="14" t="n">
        <v>0</v>
      </c>
      <c r="J19" s="10" t="s">
        <v>354</v>
      </c>
      <c r="K19" s="10"/>
    </row>
    <row r="20" customFormat="false" ht="30.75" hidden="false" customHeight="true" outlineLevel="0" collapsed="false">
      <c r="A20" s="11" t="s">
        <v>137</v>
      </c>
      <c r="B20" s="9" t="s">
        <v>138</v>
      </c>
      <c r="C20" s="9" t="s">
        <v>117</v>
      </c>
      <c r="D20" s="12" t="s">
        <v>353</v>
      </c>
      <c r="E20" s="11" t="n">
        <v>90</v>
      </c>
      <c r="F20" s="11" t="n">
        <v>1</v>
      </c>
      <c r="G20" s="11" t="n">
        <v>6</v>
      </c>
      <c r="H20" s="13" t="n">
        <f aca="false">IFERROR(E20/(F20*G20),"")</f>
        <v>15</v>
      </c>
      <c r="I20" s="11" t="n">
        <v>15</v>
      </c>
      <c r="J20" s="9" t="s">
        <v>140</v>
      </c>
      <c r="K20" s="9"/>
    </row>
    <row r="21" customFormat="false" ht="43.5" hidden="false" customHeight="true" outlineLevel="0" collapsed="false">
      <c r="A21" s="11" t="s">
        <v>144</v>
      </c>
      <c r="B21" s="9" t="s">
        <v>145</v>
      </c>
      <c r="C21" s="9" t="s">
        <v>360</v>
      </c>
      <c r="D21" s="12" t="s">
        <v>353</v>
      </c>
      <c r="E21" s="11" t="n">
        <v>224</v>
      </c>
      <c r="F21" s="11" t="n">
        <v>2</v>
      </c>
      <c r="G21" s="11" t="n">
        <v>8</v>
      </c>
      <c r="H21" s="13" t="n">
        <f aca="false">IFERROR(E21/(F21*G21),"")</f>
        <v>14</v>
      </c>
      <c r="I21" s="11" t="n">
        <v>14</v>
      </c>
      <c r="J21" s="9" t="s">
        <v>147</v>
      </c>
      <c r="K21" s="9"/>
    </row>
    <row r="22" customFormat="false" ht="30.75" hidden="false" customHeight="true" outlineLevel="0" collapsed="false">
      <c r="A22" s="11" t="s">
        <v>150</v>
      </c>
      <c r="B22" s="9" t="s">
        <v>151</v>
      </c>
      <c r="C22" s="9" t="s">
        <v>130</v>
      </c>
      <c r="D22" s="12" t="s">
        <v>353</v>
      </c>
      <c r="E22" s="11" t="n">
        <v>288</v>
      </c>
      <c r="F22" s="11" t="n">
        <v>2</v>
      </c>
      <c r="G22" s="11" t="n">
        <v>8</v>
      </c>
      <c r="H22" s="13" t="n">
        <f aca="false">IFERROR(E22/(F22*G22),"")</f>
        <v>18</v>
      </c>
      <c r="I22" s="11" t="n">
        <v>18</v>
      </c>
      <c r="J22" s="9" t="s">
        <v>153</v>
      </c>
      <c r="K22" s="9"/>
    </row>
    <row r="23" customFormat="false" ht="18" hidden="false" customHeight="true" outlineLevel="0" collapsed="false">
      <c r="A23" s="14" t="s">
        <v>155</v>
      </c>
      <c r="B23" s="10" t="s">
        <v>156</v>
      </c>
      <c r="C23" s="10" t="s">
        <v>361</v>
      </c>
      <c r="D23" s="14" t="s">
        <v>353</v>
      </c>
      <c r="E23" s="14" t="n">
        <v>0</v>
      </c>
      <c r="F23" s="14" t="n">
        <v>0</v>
      </c>
      <c r="G23" s="14" t="n">
        <v>0</v>
      </c>
      <c r="H23" s="15" t="str">
        <f aca="false">IFERROR(E23/(F23*G23),"")</f>
        <v/>
      </c>
      <c r="I23" s="14" t="n">
        <v>0</v>
      </c>
      <c r="J23" s="10" t="s">
        <v>354</v>
      </c>
      <c r="K23" s="10"/>
    </row>
    <row r="24" customFormat="false" ht="43.5" hidden="false" customHeight="true" outlineLevel="0" collapsed="false">
      <c r="A24" s="11" t="s">
        <v>162</v>
      </c>
      <c r="B24" s="9" t="s">
        <v>163</v>
      </c>
      <c r="C24" s="9" t="s">
        <v>362</v>
      </c>
      <c r="D24" s="12" t="s">
        <v>353</v>
      </c>
      <c r="E24" s="11" t="n">
        <v>144</v>
      </c>
      <c r="F24" s="11" t="n">
        <v>1</v>
      </c>
      <c r="G24" s="11" t="n">
        <v>8</v>
      </c>
      <c r="H24" s="13" t="n">
        <f aca="false">IFERROR(E24/(F24*G24),"")</f>
        <v>18</v>
      </c>
      <c r="I24" s="11" t="n">
        <v>18</v>
      </c>
      <c r="J24" s="9" t="s">
        <v>114</v>
      </c>
      <c r="K24" s="9"/>
    </row>
    <row r="25" customFormat="false" ht="43.5" hidden="false" customHeight="true" outlineLevel="0" collapsed="false">
      <c r="A25" s="11" t="s">
        <v>168</v>
      </c>
      <c r="B25" s="9" t="s">
        <v>169</v>
      </c>
      <c r="C25" s="9" t="s">
        <v>162</v>
      </c>
      <c r="D25" s="12" t="s">
        <v>353</v>
      </c>
      <c r="E25" s="11" t="n">
        <v>176</v>
      </c>
      <c r="F25" s="11" t="n">
        <v>1</v>
      </c>
      <c r="G25" s="11" t="n">
        <v>8</v>
      </c>
      <c r="H25" s="13" t="n">
        <f aca="false">IFERROR(E25/(F25*G25),"")</f>
        <v>22</v>
      </c>
      <c r="I25" s="11" t="n">
        <v>22</v>
      </c>
      <c r="J25" s="9" t="s">
        <v>114</v>
      </c>
      <c r="K25" s="9"/>
    </row>
    <row r="26" customFormat="false" ht="43.5" hidden="false" customHeight="true" outlineLevel="0" collapsed="false">
      <c r="A26" s="11" t="s">
        <v>173</v>
      </c>
      <c r="B26" s="9" t="s">
        <v>174</v>
      </c>
      <c r="C26" s="9" t="s">
        <v>168</v>
      </c>
      <c r="D26" s="12" t="s">
        <v>353</v>
      </c>
      <c r="E26" s="11" t="n">
        <v>136</v>
      </c>
      <c r="F26" s="11" t="n">
        <v>1</v>
      </c>
      <c r="G26" s="11" t="n">
        <v>8</v>
      </c>
      <c r="H26" s="13" t="n">
        <f aca="false">IFERROR(E26/(F26*G26),"")</f>
        <v>17</v>
      </c>
      <c r="I26" s="11" t="n">
        <v>17</v>
      </c>
      <c r="J26" s="9" t="s">
        <v>114</v>
      </c>
      <c r="K26" s="9"/>
    </row>
    <row r="27" customFormat="false" ht="43.5" hidden="false" customHeight="true" outlineLevel="0" collapsed="false">
      <c r="A27" s="11" t="s">
        <v>178</v>
      </c>
      <c r="B27" s="9" t="s">
        <v>179</v>
      </c>
      <c r="C27" s="9" t="s">
        <v>155</v>
      </c>
      <c r="D27" s="12" t="s">
        <v>353</v>
      </c>
      <c r="E27" s="11" t="n">
        <v>216</v>
      </c>
      <c r="F27" s="11" t="n">
        <v>1</v>
      </c>
      <c r="G27" s="11" t="n">
        <v>8</v>
      </c>
      <c r="H27" s="13" t="n">
        <f aca="false">IFERROR(E27/(F27*G27),"")</f>
        <v>27</v>
      </c>
      <c r="I27" s="11" t="n">
        <v>27</v>
      </c>
      <c r="J27" s="9" t="s">
        <v>147</v>
      </c>
      <c r="K27" s="9" t="s">
        <v>182</v>
      </c>
    </row>
    <row r="28" customFormat="false" ht="30.75" hidden="false" customHeight="true" outlineLevel="0" collapsed="false">
      <c r="A28" s="11" t="s">
        <v>183</v>
      </c>
      <c r="B28" s="9" t="s">
        <v>184</v>
      </c>
      <c r="C28" s="9" t="s">
        <v>155</v>
      </c>
      <c r="D28" s="12" t="s">
        <v>353</v>
      </c>
      <c r="E28" s="11" t="n">
        <v>176</v>
      </c>
      <c r="F28" s="11" t="n">
        <v>1</v>
      </c>
      <c r="G28" s="11" t="n">
        <v>8</v>
      </c>
      <c r="H28" s="13" t="n">
        <f aca="false">IFERROR(E28/(F28*G28),"")</f>
        <v>22</v>
      </c>
      <c r="I28" s="11" t="n">
        <v>22</v>
      </c>
      <c r="J28" s="9" t="s">
        <v>153</v>
      </c>
      <c r="K28" s="9" t="s">
        <v>187</v>
      </c>
    </row>
    <row r="29" customFormat="false" ht="43.5" hidden="false" customHeight="true" outlineLevel="0" collapsed="false">
      <c r="A29" s="11" t="s">
        <v>189</v>
      </c>
      <c r="B29" s="9" t="s">
        <v>190</v>
      </c>
      <c r="C29" s="9" t="s">
        <v>155</v>
      </c>
      <c r="D29" s="12" t="s">
        <v>353</v>
      </c>
      <c r="E29" s="11" t="n">
        <v>224</v>
      </c>
      <c r="F29" s="11" t="n">
        <v>2</v>
      </c>
      <c r="G29" s="11" t="n">
        <v>8</v>
      </c>
      <c r="H29" s="13" t="n">
        <f aca="false">IFERROR(E29/(F29*G29),"")</f>
        <v>14</v>
      </c>
      <c r="I29" s="11" t="n">
        <v>14</v>
      </c>
      <c r="J29" s="9" t="s">
        <v>192</v>
      </c>
      <c r="K29" s="9" t="s">
        <v>194</v>
      </c>
    </row>
    <row r="30" customFormat="false" ht="43.5" hidden="false" customHeight="true" outlineLevel="0" collapsed="false">
      <c r="A30" s="11" t="s">
        <v>196</v>
      </c>
      <c r="B30" s="9" t="s">
        <v>197</v>
      </c>
      <c r="C30" s="9" t="s">
        <v>363</v>
      </c>
      <c r="D30" s="12" t="s">
        <v>353</v>
      </c>
      <c r="E30" s="11" t="n">
        <v>176</v>
      </c>
      <c r="F30" s="11" t="n">
        <v>2</v>
      </c>
      <c r="G30" s="11" t="n">
        <v>8</v>
      </c>
      <c r="H30" s="13" t="n">
        <f aca="false">IFERROR(E30/(F30*G30),"")</f>
        <v>11</v>
      </c>
      <c r="I30" s="11" t="n">
        <v>11</v>
      </c>
      <c r="J30" s="9" t="s">
        <v>192</v>
      </c>
      <c r="K30" s="9" t="s">
        <v>194</v>
      </c>
    </row>
    <row r="31" customFormat="false" ht="43.5" hidden="false" customHeight="true" outlineLevel="0" collapsed="false">
      <c r="A31" s="11" t="s">
        <v>201</v>
      </c>
      <c r="B31" s="9" t="s">
        <v>202</v>
      </c>
      <c r="C31" s="9" t="s">
        <v>364</v>
      </c>
      <c r="D31" s="12" t="s">
        <v>353</v>
      </c>
      <c r="E31" s="11" t="n">
        <v>256</v>
      </c>
      <c r="F31" s="11" t="n">
        <v>2</v>
      </c>
      <c r="G31" s="11" t="n">
        <v>8</v>
      </c>
      <c r="H31" s="13" t="n">
        <f aca="false">IFERROR(E31/(F31*G31),"")</f>
        <v>16</v>
      </c>
      <c r="I31" s="11" t="n">
        <v>16</v>
      </c>
      <c r="J31" s="9" t="s">
        <v>192</v>
      </c>
      <c r="K31" s="9" t="s">
        <v>205</v>
      </c>
    </row>
    <row r="32" customFormat="false" ht="43.5" hidden="false" customHeight="true" outlineLevel="0" collapsed="false">
      <c r="A32" s="11" t="s">
        <v>207</v>
      </c>
      <c r="B32" s="9" t="s">
        <v>208</v>
      </c>
      <c r="C32" s="9" t="s">
        <v>196</v>
      </c>
      <c r="D32" s="12" t="s">
        <v>353</v>
      </c>
      <c r="E32" s="11" t="n">
        <v>288</v>
      </c>
      <c r="F32" s="11" t="n">
        <v>2</v>
      </c>
      <c r="G32" s="11" t="n">
        <v>8</v>
      </c>
      <c r="H32" s="13" t="n">
        <f aca="false">IFERROR(E32/(F32*G32),"")</f>
        <v>18</v>
      </c>
      <c r="I32" s="11" t="n">
        <v>18</v>
      </c>
      <c r="J32" s="9" t="s">
        <v>192</v>
      </c>
      <c r="K32" s="9" t="s">
        <v>194</v>
      </c>
    </row>
    <row r="33" customFormat="false" ht="30.75" hidden="false" customHeight="true" outlineLevel="0" collapsed="false">
      <c r="A33" s="11" t="s">
        <v>212</v>
      </c>
      <c r="B33" s="9" t="s">
        <v>213</v>
      </c>
      <c r="C33" s="9" t="s">
        <v>365</v>
      </c>
      <c r="D33" s="12" t="s">
        <v>353</v>
      </c>
      <c r="E33" s="11" t="n">
        <v>136</v>
      </c>
      <c r="F33" s="11" t="n">
        <v>1</v>
      </c>
      <c r="G33" s="11" t="n">
        <v>8</v>
      </c>
      <c r="H33" s="13" t="n">
        <f aca="false">IFERROR(E33/(F33*G33),"")</f>
        <v>17</v>
      </c>
      <c r="I33" s="11" t="n">
        <v>17</v>
      </c>
      <c r="J33" s="9" t="s">
        <v>97</v>
      </c>
      <c r="K33" s="9"/>
    </row>
    <row r="34" customFormat="false" ht="43.5" hidden="false" customHeight="true" outlineLevel="0" collapsed="false">
      <c r="A34" s="11" t="s">
        <v>217</v>
      </c>
      <c r="B34" s="9" t="s">
        <v>218</v>
      </c>
      <c r="C34" s="9" t="s">
        <v>366</v>
      </c>
      <c r="D34" s="12" t="s">
        <v>353</v>
      </c>
      <c r="E34" s="11" t="n">
        <v>128</v>
      </c>
      <c r="F34" s="11" t="n">
        <v>1</v>
      </c>
      <c r="G34" s="11" t="n">
        <v>8</v>
      </c>
      <c r="H34" s="13" t="n">
        <f aca="false">IFERROR(E34/(F34*G34),"")</f>
        <v>16</v>
      </c>
      <c r="I34" s="11" t="n">
        <v>16</v>
      </c>
      <c r="J34" s="9" t="s">
        <v>97</v>
      </c>
      <c r="K34" s="9"/>
    </row>
    <row r="35" customFormat="false" ht="30.75" hidden="false" customHeight="true" outlineLevel="0" collapsed="false">
      <c r="A35" s="11" t="s">
        <v>222</v>
      </c>
      <c r="B35" s="9" t="s">
        <v>223</v>
      </c>
      <c r="C35" s="9" t="s">
        <v>104</v>
      </c>
      <c r="D35" s="12" t="s">
        <v>353</v>
      </c>
      <c r="E35" s="11" t="n">
        <v>96</v>
      </c>
      <c r="F35" s="11" t="n">
        <v>1</v>
      </c>
      <c r="G35" s="11" t="n">
        <v>8</v>
      </c>
      <c r="H35" s="13" t="n">
        <f aca="false">IFERROR(E35/(F35*G35),"")</f>
        <v>12</v>
      </c>
      <c r="I35" s="11" t="n">
        <v>12</v>
      </c>
      <c r="J35" s="9" t="s">
        <v>225</v>
      </c>
      <c r="K35" s="9"/>
    </row>
    <row r="36" customFormat="false" ht="82.5" hidden="false" customHeight="true" outlineLevel="0" collapsed="false">
      <c r="A36" s="11" t="s">
        <v>228</v>
      </c>
      <c r="B36" s="9" t="s">
        <v>229</v>
      </c>
      <c r="C36" s="9" t="s">
        <v>155</v>
      </c>
      <c r="D36" s="12" t="s">
        <v>353</v>
      </c>
      <c r="E36" s="11" t="n">
        <v>860</v>
      </c>
      <c r="F36" s="11" t="n">
        <v>5</v>
      </c>
      <c r="G36" s="11" t="n">
        <v>4</v>
      </c>
      <c r="H36" s="13" t="n">
        <f aca="false">IFERROR(E36/(F36*G36),"")</f>
        <v>43</v>
      </c>
      <c r="I36" s="11" t="n">
        <v>43</v>
      </c>
      <c r="J36" s="9" t="s">
        <v>231</v>
      </c>
      <c r="K36" s="9" t="s">
        <v>367</v>
      </c>
    </row>
    <row r="37" customFormat="false" ht="57" hidden="false" customHeight="true" outlineLevel="0" collapsed="false">
      <c r="A37" s="11" t="s">
        <v>235</v>
      </c>
      <c r="B37" s="9" t="s">
        <v>236</v>
      </c>
      <c r="C37" s="9" t="s">
        <v>368</v>
      </c>
      <c r="D37" s="12" t="s">
        <v>353</v>
      </c>
      <c r="E37" s="11" t="n">
        <v>240</v>
      </c>
      <c r="F37" s="11" t="n">
        <v>3</v>
      </c>
      <c r="G37" s="11" t="n">
        <v>8</v>
      </c>
      <c r="H37" s="13" t="n">
        <f aca="false">IFERROR(E37/(F37*G37),"")</f>
        <v>10</v>
      </c>
      <c r="I37" s="11" t="n">
        <v>10</v>
      </c>
      <c r="J37" s="9" t="s">
        <v>238</v>
      </c>
      <c r="K37" s="9" t="s">
        <v>240</v>
      </c>
    </row>
    <row r="38" customFormat="false" ht="43.5" hidden="false" customHeight="true" outlineLevel="0" collapsed="false">
      <c r="A38" s="11" t="s">
        <v>241</v>
      </c>
      <c r="B38" s="9" t="s">
        <v>242</v>
      </c>
      <c r="C38" s="9" t="s">
        <v>235</v>
      </c>
      <c r="D38" s="12" t="s">
        <v>353</v>
      </c>
      <c r="E38" s="11" t="n">
        <v>40</v>
      </c>
      <c r="F38" s="11" t="n">
        <v>2</v>
      </c>
      <c r="G38" s="11" t="n">
        <v>4</v>
      </c>
      <c r="H38" s="13" t="n">
        <f aca="false">IFERROR(E38/(F38*G38),"")</f>
        <v>5</v>
      </c>
      <c r="I38" s="11" t="n">
        <v>5</v>
      </c>
      <c r="J38" s="9" t="s">
        <v>244</v>
      </c>
      <c r="K38" s="9" t="s">
        <v>246</v>
      </c>
    </row>
    <row r="39" customFormat="false" ht="18" hidden="false" customHeight="true" outlineLevel="0" collapsed="false">
      <c r="A39" s="14" t="s">
        <v>247</v>
      </c>
      <c r="B39" s="10" t="s">
        <v>248</v>
      </c>
      <c r="C39" s="10" t="s">
        <v>241</v>
      </c>
      <c r="D39" s="14" t="s">
        <v>353</v>
      </c>
      <c r="E39" s="14" t="n">
        <v>0</v>
      </c>
      <c r="F39" s="14" t="n">
        <v>0</v>
      </c>
      <c r="G39" s="14" t="n">
        <v>0</v>
      </c>
      <c r="H39" s="15" t="str">
        <f aca="false">IFERROR(E39/(F39*G39),"")</f>
        <v/>
      </c>
      <c r="I39" s="14" t="n">
        <v>0</v>
      </c>
      <c r="J39" s="10" t="s">
        <v>354</v>
      </c>
      <c r="K39" s="10"/>
    </row>
    <row r="40" customFormat="false" ht="57" hidden="false" customHeight="true" outlineLevel="0" collapsed="false">
      <c r="A40" s="11" t="s">
        <v>254</v>
      </c>
      <c r="B40" s="9" t="s">
        <v>255</v>
      </c>
      <c r="C40" s="9" t="s">
        <v>369</v>
      </c>
      <c r="D40" s="12" t="s">
        <v>353</v>
      </c>
      <c r="E40" s="11" t="n">
        <v>480</v>
      </c>
      <c r="F40" s="11" t="n">
        <v>6</v>
      </c>
      <c r="G40" s="11" t="n">
        <v>8</v>
      </c>
      <c r="H40" s="13" t="n">
        <f aca="false">IFERROR(E40/(F40*G40),"")</f>
        <v>10</v>
      </c>
      <c r="I40" s="11" t="n">
        <v>10</v>
      </c>
      <c r="J40" s="9" t="s">
        <v>238</v>
      </c>
      <c r="K40" s="9" t="s">
        <v>257</v>
      </c>
    </row>
    <row r="41" customFormat="false" ht="57" hidden="false" customHeight="true" outlineLevel="0" collapsed="false">
      <c r="A41" s="11" t="s">
        <v>258</v>
      </c>
      <c r="B41" s="9" t="s">
        <v>259</v>
      </c>
      <c r="C41" s="9" t="s">
        <v>254</v>
      </c>
      <c r="D41" s="12" t="s">
        <v>353</v>
      </c>
      <c r="E41" s="11" t="n">
        <v>24</v>
      </c>
      <c r="F41" s="11" t="n">
        <v>1</v>
      </c>
      <c r="G41" s="11" t="n">
        <v>3</v>
      </c>
      <c r="H41" s="13" t="n">
        <f aca="false">IFERROR(E41/(F41*G41),"")</f>
        <v>8</v>
      </c>
      <c r="I41" s="11" t="n">
        <v>8</v>
      </c>
      <c r="J41" s="9" t="s">
        <v>140</v>
      </c>
      <c r="K41" s="9" t="s">
        <v>370</v>
      </c>
    </row>
    <row r="42" customFormat="false" ht="43.5" hidden="false" customHeight="true" outlineLevel="0" collapsed="false">
      <c r="A42" s="11" t="s">
        <v>263</v>
      </c>
      <c r="B42" s="9" t="s">
        <v>264</v>
      </c>
      <c r="C42" s="9" t="s">
        <v>254</v>
      </c>
      <c r="D42" s="12" t="s">
        <v>353</v>
      </c>
      <c r="E42" s="11" t="n">
        <v>40</v>
      </c>
      <c r="F42" s="11" t="n">
        <v>2</v>
      </c>
      <c r="G42" s="11" t="n">
        <v>4</v>
      </c>
      <c r="H42" s="13" t="n">
        <f aca="false">IFERROR(E42/(F42*G42),"")</f>
        <v>5</v>
      </c>
      <c r="I42" s="11" t="n">
        <v>5</v>
      </c>
      <c r="J42" s="9" t="s">
        <v>244</v>
      </c>
      <c r="K42" s="9"/>
    </row>
    <row r="43" customFormat="false" ht="18" hidden="false" customHeight="true" outlineLevel="0" collapsed="false">
      <c r="A43" s="14" t="s">
        <v>268</v>
      </c>
      <c r="B43" s="10" t="s">
        <v>269</v>
      </c>
      <c r="C43" s="10" t="s">
        <v>371</v>
      </c>
      <c r="D43" s="14" t="s">
        <v>353</v>
      </c>
      <c r="E43" s="14" t="n">
        <v>0</v>
      </c>
      <c r="F43" s="14" t="n">
        <v>0</v>
      </c>
      <c r="G43" s="14" t="n">
        <v>0</v>
      </c>
      <c r="H43" s="15" t="str">
        <f aca="false">IFERROR(E43/(F43*G43),"")</f>
        <v/>
      </c>
      <c r="I43" s="14" t="n">
        <v>0</v>
      </c>
      <c r="J43" s="10" t="s">
        <v>354</v>
      </c>
      <c r="K43" s="10"/>
    </row>
    <row r="44" customFormat="false" ht="57" hidden="false" customHeight="true" outlineLevel="0" collapsed="false">
      <c r="A44" s="11" t="s">
        <v>274</v>
      </c>
      <c r="B44" s="9" t="s">
        <v>275</v>
      </c>
      <c r="C44" s="9" t="s">
        <v>155</v>
      </c>
      <c r="D44" s="12" t="s">
        <v>353</v>
      </c>
      <c r="E44" s="11" t="n">
        <v>120</v>
      </c>
      <c r="F44" s="11" t="n">
        <v>2</v>
      </c>
      <c r="G44" s="11" t="n">
        <v>4</v>
      </c>
      <c r="H44" s="13" t="n">
        <f aca="false">IFERROR(E44/(F44*G44),"")</f>
        <v>15</v>
      </c>
      <c r="I44" s="11" t="n">
        <v>20</v>
      </c>
      <c r="J44" s="9" t="s">
        <v>277</v>
      </c>
      <c r="K44" s="9" t="s">
        <v>372</v>
      </c>
    </row>
    <row r="45" customFormat="false" ht="43.5" hidden="false" customHeight="true" outlineLevel="0" collapsed="false">
      <c r="A45" s="11" t="s">
        <v>281</v>
      </c>
      <c r="B45" s="9" t="s">
        <v>282</v>
      </c>
      <c r="C45" s="9" t="s">
        <v>373</v>
      </c>
      <c r="D45" s="12" t="s">
        <v>353</v>
      </c>
      <c r="E45" s="11" t="n">
        <v>64</v>
      </c>
      <c r="F45" s="11" t="n">
        <v>1</v>
      </c>
      <c r="G45" s="11" t="n">
        <v>8</v>
      </c>
      <c r="H45" s="13" t="n">
        <f aca="false">IFERROR(E45/(F45*G45),"")</f>
        <v>8</v>
      </c>
      <c r="I45" s="11" t="n">
        <v>8</v>
      </c>
      <c r="J45" s="9" t="s">
        <v>284</v>
      </c>
      <c r="K45" s="9"/>
    </row>
    <row r="46" customFormat="false" ht="30.75" hidden="false" customHeight="true" outlineLevel="0" collapsed="false">
      <c r="A46" s="11" t="s">
        <v>287</v>
      </c>
      <c r="B46" s="9" t="s">
        <v>288</v>
      </c>
      <c r="C46" s="9" t="s">
        <v>374</v>
      </c>
      <c r="D46" s="12" t="s">
        <v>353</v>
      </c>
      <c r="E46" s="11" t="n">
        <v>6</v>
      </c>
      <c r="F46" s="11" t="n">
        <v>1</v>
      </c>
      <c r="G46" s="11" t="n">
        <v>6</v>
      </c>
      <c r="H46" s="13" t="n">
        <f aca="false">IFERROR(E46/(F46*G46),"")</f>
        <v>1</v>
      </c>
      <c r="I46" s="11" t="n">
        <v>1</v>
      </c>
      <c r="J46" s="9" t="s">
        <v>140</v>
      </c>
      <c r="K46" s="9"/>
    </row>
    <row r="47" customFormat="false" ht="30.75" hidden="false" customHeight="true" outlineLevel="0" collapsed="false">
      <c r="A47" s="14" t="s">
        <v>291</v>
      </c>
      <c r="B47" s="10" t="s">
        <v>292</v>
      </c>
      <c r="C47" s="10" t="s">
        <v>287</v>
      </c>
      <c r="D47" s="14" t="s">
        <v>353</v>
      </c>
      <c r="E47" s="14" t="n">
        <v>0</v>
      </c>
      <c r="F47" s="14" t="n">
        <v>0</v>
      </c>
      <c r="G47" s="14" t="n">
        <v>0</v>
      </c>
      <c r="H47" s="15" t="str">
        <f aca="false">IFERROR(E47/(F47*G47),"")</f>
        <v/>
      </c>
      <c r="I47" s="14" t="n">
        <v>0</v>
      </c>
      <c r="J47" s="10" t="s">
        <v>354</v>
      </c>
      <c r="K47" s="10"/>
    </row>
    <row r="48" customFormat="false" ht="57" hidden="false" customHeight="true" outlineLevel="0" collapsed="false">
      <c r="A48" s="11" t="s">
        <v>297</v>
      </c>
      <c r="B48" s="9" t="s">
        <v>298</v>
      </c>
      <c r="C48" s="9" t="s">
        <v>291</v>
      </c>
      <c r="D48" s="12" t="s">
        <v>353</v>
      </c>
      <c r="E48" s="11" t="n">
        <v>152</v>
      </c>
      <c r="F48" s="11" t="n">
        <v>2</v>
      </c>
      <c r="G48" s="11" t="n">
        <v>4</v>
      </c>
      <c r="H48" s="13" t="n">
        <f aca="false">IFERROR(E48/(F48*G48),"")</f>
        <v>19</v>
      </c>
      <c r="I48" s="11" t="n">
        <v>19</v>
      </c>
      <c r="J48" s="9" t="s">
        <v>300</v>
      </c>
      <c r="K48" s="9"/>
    </row>
    <row r="49" customFormat="false" ht="43.5" hidden="false" customHeight="true" outlineLevel="0" collapsed="false">
      <c r="A49" s="11" t="s">
        <v>303</v>
      </c>
      <c r="B49" s="9" t="s">
        <v>304</v>
      </c>
      <c r="C49" s="9" t="s">
        <v>254</v>
      </c>
      <c r="D49" s="12" t="s">
        <v>353</v>
      </c>
      <c r="E49" s="11" t="n">
        <v>48</v>
      </c>
      <c r="F49" s="11" t="n">
        <v>1</v>
      </c>
      <c r="G49" s="11" t="n">
        <v>8</v>
      </c>
      <c r="H49" s="13" t="n">
        <f aca="false">IFERROR(E49/(F49*G49),"")</f>
        <v>6</v>
      </c>
      <c r="I49" s="11" t="n">
        <v>6</v>
      </c>
      <c r="J49" s="9" t="s">
        <v>284</v>
      </c>
      <c r="K49" s="9"/>
    </row>
    <row r="50" customFormat="false" ht="30.75" hidden="false" customHeight="true" outlineLevel="0" collapsed="false">
      <c r="A50" s="11" t="s">
        <v>308</v>
      </c>
      <c r="B50" s="9" t="s">
        <v>309</v>
      </c>
      <c r="C50" s="9" t="s">
        <v>375</v>
      </c>
      <c r="D50" s="12" t="s">
        <v>353</v>
      </c>
      <c r="E50" s="11" t="n">
        <v>6</v>
      </c>
      <c r="F50" s="11" t="n">
        <v>1</v>
      </c>
      <c r="G50" s="11" t="n">
        <v>6</v>
      </c>
      <c r="H50" s="13" t="n">
        <f aca="false">IFERROR(E50/(F50*G50),"")</f>
        <v>1</v>
      </c>
      <c r="I50" s="11" t="n">
        <v>1</v>
      </c>
      <c r="J50" s="9" t="s">
        <v>140</v>
      </c>
      <c r="K50" s="9"/>
    </row>
    <row r="51" customFormat="false" ht="30.75" hidden="false" customHeight="true" outlineLevel="0" collapsed="false">
      <c r="A51" s="14" t="s">
        <v>311</v>
      </c>
      <c r="B51" s="10" t="s">
        <v>312</v>
      </c>
      <c r="C51" s="10" t="s">
        <v>308</v>
      </c>
      <c r="D51" s="14" t="s">
        <v>353</v>
      </c>
      <c r="E51" s="14" t="n">
        <v>0</v>
      </c>
      <c r="F51" s="14" t="n">
        <v>0</v>
      </c>
      <c r="G51" s="14" t="n">
        <v>0</v>
      </c>
      <c r="H51" s="15" t="str">
        <f aca="false">IFERROR(E51/(F51*G51),"")</f>
        <v/>
      </c>
      <c r="I51" s="14" t="n">
        <v>0</v>
      </c>
      <c r="J51" s="10" t="s">
        <v>354</v>
      </c>
      <c r="K51" s="10"/>
    </row>
    <row r="52" customFormat="false" ht="96" hidden="false" customHeight="true" outlineLevel="0" collapsed="false">
      <c r="A52" s="11" t="s">
        <v>316</v>
      </c>
      <c r="B52" s="9" t="s">
        <v>317</v>
      </c>
      <c r="C52" s="9" t="s">
        <v>311</v>
      </c>
      <c r="D52" s="12" t="s">
        <v>353</v>
      </c>
      <c r="E52" s="11" t="n">
        <v>640</v>
      </c>
      <c r="F52" s="11" t="n">
        <v>4</v>
      </c>
      <c r="G52" s="11" t="n">
        <v>4</v>
      </c>
      <c r="H52" s="13" t="n">
        <f aca="false">IFERROR(E52/(F52*G52),"")</f>
        <v>40</v>
      </c>
      <c r="I52" s="11" t="n">
        <v>40</v>
      </c>
      <c r="J52" s="9" t="s">
        <v>319</v>
      </c>
      <c r="K52" s="9" t="s">
        <v>321</v>
      </c>
    </row>
    <row r="53" customFormat="false" ht="57" hidden="false" customHeight="true" outlineLevel="0" collapsed="false">
      <c r="A53" s="11" t="s">
        <v>323</v>
      </c>
      <c r="B53" s="9" t="s">
        <v>324</v>
      </c>
      <c r="C53" s="9" t="s">
        <v>316</v>
      </c>
      <c r="D53" s="12" t="s">
        <v>353</v>
      </c>
      <c r="E53" s="11" t="n">
        <v>108</v>
      </c>
      <c r="F53" s="11" t="n">
        <v>3</v>
      </c>
      <c r="G53" s="11" t="n">
        <v>4</v>
      </c>
      <c r="H53" s="13" t="n">
        <f aca="false">IFERROR(E53/(F53*G53),"")</f>
        <v>9</v>
      </c>
      <c r="I53" s="11" t="n">
        <v>9</v>
      </c>
      <c r="J53" s="9" t="s">
        <v>326</v>
      </c>
      <c r="K53" s="9"/>
    </row>
    <row r="54" customFormat="false" ht="30.75" hidden="false" customHeight="true" outlineLevel="0" collapsed="false">
      <c r="A54" s="14" t="s">
        <v>329</v>
      </c>
      <c r="B54" s="10" t="s">
        <v>330</v>
      </c>
      <c r="C54" s="10" t="s">
        <v>323</v>
      </c>
      <c r="D54" s="14" t="s">
        <v>353</v>
      </c>
      <c r="E54" s="14" t="n">
        <v>0</v>
      </c>
      <c r="F54" s="14" t="n">
        <v>0</v>
      </c>
      <c r="G54" s="14" t="n">
        <v>0</v>
      </c>
      <c r="H54" s="15" t="str">
        <f aca="false">IFERROR(E54/(F54*G54),"")</f>
        <v/>
      </c>
      <c r="I54" s="14" t="n">
        <v>0</v>
      </c>
      <c r="J54" s="10" t="s">
        <v>354</v>
      </c>
      <c r="K54" s="10"/>
    </row>
    <row r="55" customFormat="false" ht="69.75" hidden="false" customHeight="true" outlineLevel="0" collapsed="false">
      <c r="A55" s="11" t="s">
        <v>335</v>
      </c>
      <c r="B55" s="9" t="s">
        <v>336</v>
      </c>
      <c r="C55" s="9" t="s">
        <v>311</v>
      </c>
      <c r="D55" s="12" t="s">
        <v>353</v>
      </c>
      <c r="E55" s="11" t="n">
        <v>144</v>
      </c>
      <c r="F55" s="11" t="n">
        <v>3</v>
      </c>
      <c r="G55" s="11" t="n">
        <v>4</v>
      </c>
      <c r="H55" s="13" t="n">
        <f aca="false">IFERROR(E55/(F55*G55),"")</f>
        <v>12</v>
      </c>
      <c r="I55" s="11" t="n">
        <v>12</v>
      </c>
      <c r="J55" s="9" t="s">
        <v>338</v>
      </c>
      <c r="K55" s="9"/>
    </row>
    <row r="57" customFormat="false" ht="13.5" hidden="false" customHeight="false" outlineLevel="0" collapsed="false">
      <c r="B57" s="16" t="s">
        <v>376</v>
      </c>
      <c r="E57" s="17" t="n">
        <f aca="false">SUM(E4:E55)</f>
        <v>7206</v>
      </c>
    </row>
  </sheetData>
  <mergeCells count="1">
    <mergeCell ref="A1:K1"/>
  </mergeCells>
  <dataValidations count="1">
    <dataValidation allowBlank="false" errorStyle="stop" operator="between" showDropDown="false" showErrorMessage="false" showInputMessage="false" sqref="D4:D55" type="list">
      <formula1>"FS,SS,FF,SF"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3.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5"/>
    <col collapsed="false" customWidth="true" hidden="false" outlineLevel="0" max="4" min="4" style="0" width="24"/>
    <col collapsed="false" customWidth="true" hidden="false" outlineLevel="0" max="5" min="5" style="0" width="32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30"/>
  </cols>
  <sheetData>
    <row r="1" customFormat="false" ht="19.5" hidden="false" customHeight="true" outlineLevel="0" collapsed="false">
      <c r="A1" s="7" t="s">
        <v>377</v>
      </c>
      <c r="B1" s="7"/>
      <c r="C1" s="7"/>
      <c r="D1" s="7"/>
      <c r="E1" s="7"/>
      <c r="F1" s="7"/>
      <c r="G1" s="7"/>
      <c r="H1" s="7"/>
    </row>
    <row r="3" customFormat="false" ht="14.9" hidden="false" customHeight="false" outlineLevel="0" collapsed="false">
      <c r="A3" s="8" t="s">
        <v>378</v>
      </c>
      <c r="B3" s="8" t="s">
        <v>379</v>
      </c>
      <c r="C3" s="8" t="s">
        <v>380</v>
      </c>
      <c r="D3" s="8" t="s">
        <v>41</v>
      </c>
    </row>
    <row r="4" customFormat="false" ht="13.5" hidden="false" customHeight="false" outlineLevel="0" collapsed="false">
      <c r="A4" s="0" t="s">
        <v>381</v>
      </c>
      <c r="B4" s="0" t="n">
        <v>8</v>
      </c>
      <c r="C4" s="0" t="s">
        <v>382</v>
      </c>
      <c r="D4" s="0" t="s">
        <v>383</v>
      </c>
    </row>
    <row r="5" customFormat="false" ht="13.5" hidden="false" customHeight="false" outlineLevel="0" collapsed="false">
      <c r="A5" s="0" t="s">
        <v>384</v>
      </c>
      <c r="B5" s="0" t="n">
        <v>5</v>
      </c>
      <c r="C5" s="0" t="s">
        <v>385</v>
      </c>
      <c r="D5" s="0" t="s">
        <v>386</v>
      </c>
    </row>
    <row r="6" customFormat="false" ht="13.5" hidden="false" customHeight="false" outlineLevel="0" collapsed="false">
      <c r="A6" s="0" t="s">
        <v>387</v>
      </c>
      <c r="B6" s="18" t="n">
        <v>46300</v>
      </c>
      <c r="C6" s="0" t="s">
        <v>388</v>
      </c>
      <c r="D6" s="0" t="s">
        <v>389</v>
      </c>
    </row>
    <row r="7" customFormat="false" ht="13.5" hidden="false" customHeight="false" outlineLevel="0" collapsed="false">
      <c r="A7" s="0" t="s">
        <v>390</v>
      </c>
      <c r="B7" s="18" t="n">
        <v>46603</v>
      </c>
      <c r="C7" s="0" t="s">
        <v>388</v>
      </c>
      <c r="D7" s="0" t="s">
        <v>391</v>
      </c>
    </row>
    <row r="8" customFormat="false" ht="13.5" hidden="false" customHeight="false" outlineLevel="0" collapsed="false">
      <c r="A8" s="0" t="s">
        <v>14</v>
      </c>
      <c r="B8" s="0" t="s">
        <v>392</v>
      </c>
      <c r="C8" s="0" t="s">
        <v>393</v>
      </c>
      <c r="D8" s="0" t="s">
        <v>394</v>
      </c>
    </row>
    <row r="9" customFormat="false" ht="13.5" hidden="false" customHeight="false" outlineLevel="0" collapsed="false">
      <c r="A9" s="0" t="s">
        <v>395</v>
      </c>
      <c r="B9" s="0" t="s">
        <v>396</v>
      </c>
      <c r="C9" s="0" t="s">
        <v>397</v>
      </c>
      <c r="D9" s="0" t="s">
        <v>398</v>
      </c>
    </row>
    <row r="11" customFormat="false" ht="13.5" hidden="false" customHeight="false" outlineLevel="0" collapsed="false">
      <c r="A11" s="19" t="s">
        <v>399</v>
      </c>
    </row>
    <row r="12" customFormat="false" ht="14.9" hidden="false" customHeight="false" outlineLevel="0" collapsed="false">
      <c r="A12" s="8" t="s">
        <v>345</v>
      </c>
      <c r="B12" s="8" t="s">
        <v>400</v>
      </c>
      <c r="C12" s="8" t="s">
        <v>401</v>
      </c>
      <c r="D12" s="8" t="s">
        <v>402</v>
      </c>
      <c r="E12" s="8" t="s">
        <v>403</v>
      </c>
      <c r="F12" s="8" t="s">
        <v>404</v>
      </c>
      <c r="G12" s="8" t="s">
        <v>405</v>
      </c>
      <c r="H12" s="8" t="s">
        <v>41</v>
      </c>
    </row>
    <row r="13" customFormat="false" ht="43.5" hidden="false" customHeight="true" outlineLevel="0" collapsed="false">
      <c r="A13" s="9" t="s">
        <v>406</v>
      </c>
      <c r="B13" s="20" t="n">
        <v>46307</v>
      </c>
      <c r="C13" s="20" t="n">
        <v>46307</v>
      </c>
      <c r="D13" s="9" t="s">
        <v>407</v>
      </c>
      <c r="E13" s="9" t="s">
        <v>408</v>
      </c>
      <c r="F13" s="9" t="s">
        <v>409</v>
      </c>
      <c r="G13" s="9" t="s">
        <v>410</v>
      </c>
      <c r="H13" s="9" t="s">
        <v>411</v>
      </c>
    </row>
    <row r="14" customFormat="false" ht="43.5" hidden="false" customHeight="true" outlineLevel="0" collapsed="false">
      <c r="A14" s="9" t="s">
        <v>406</v>
      </c>
      <c r="B14" s="20" t="n">
        <v>46364</v>
      </c>
      <c r="C14" s="20" t="n">
        <v>46364</v>
      </c>
      <c r="D14" s="9" t="s">
        <v>407</v>
      </c>
      <c r="E14" s="9" t="s">
        <v>412</v>
      </c>
      <c r="F14" s="9" t="s">
        <v>409</v>
      </c>
      <c r="G14" s="9" t="s">
        <v>410</v>
      </c>
      <c r="H14" s="9" t="s">
        <v>411</v>
      </c>
    </row>
    <row r="15" customFormat="false" ht="43.5" hidden="false" customHeight="true" outlineLevel="0" collapsed="false">
      <c r="A15" s="9" t="s">
        <v>406</v>
      </c>
      <c r="B15" s="20" t="n">
        <v>46381</v>
      </c>
      <c r="C15" s="20" t="n">
        <v>46381</v>
      </c>
      <c r="D15" s="9" t="s">
        <v>407</v>
      </c>
      <c r="E15" s="9" t="s">
        <v>413</v>
      </c>
      <c r="F15" s="9" t="s">
        <v>409</v>
      </c>
      <c r="G15" s="9" t="s">
        <v>410</v>
      </c>
      <c r="H15" s="9" t="s">
        <v>411</v>
      </c>
    </row>
    <row r="16" customFormat="false" ht="43.5" hidden="false" customHeight="true" outlineLevel="0" collapsed="false">
      <c r="A16" s="9" t="s">
        <v>406</v>
      </c>
      <c r="B16" s="20" t="n">
        <v>46388</v>
      </c>
      <c r="C16" s="20" t="n">
        <v>46388</v>
      </c>
      <c r="D16" s="9" t="s">
        <v>407</v>
      </c>
      <c r="E16" s="9" t="s">
        <v>414</v>
      </c>
      <c r="F16" s="9" t="s">
        <v>409</v>
      </c>
      <c r="G16" s="9" t="s">
        <v>410</v>
      </c>
      <c r="H16" s="9" t="s">
        <v>411</v>
      </c>
    </row>
    <row r="17" customFormat="false" ht="43.5" hidden="false" customHeight="true" outlineLevel="0" collapsed="false">
      <c r="A17" s="9" t="s">
        <v>406</v>
      </c>
      <c r="B17" s="20" t="n">
        <v>46472</v>
      </c>
      <c r="C17" s="20" t="n">
        <v>46472</v>
      </c>
      <c r="D17" s="9" t="s">
        <v>407</v>
      </c>
      <c r="E17" s="9" t="s">
        <v>415</v>
      </c>
      <c r="F17" s="9" t="s">
        <v>409</v>
      </c>
      <c r="G17" s="9" t="s">
        <v>410</v>
      </c>
      <c r="H17" s="9" t="s">
        <v>411</v>
      </c>
    </row>
    <row r="18" customFormat="false" ht="43.5" hidden="false" customHeight="true" outlineLevel="0" collapsed="false">
      <c r="A18" s="9" t="s">
        <v>406</v>
      </c>
      <c r="B18" s="20" t="n">
        <v>46528</v>
      </c>
      <c r="C18" s="20" t="n">
        <v>46528</v>
      </c>
      <c r="D18" s="9" t="s">
        <v>407</v>
      </c>
      <c r="E18" s="9" t="s">
        <v>416</v>
      </c>
      <c r="F18" s="9" t="s">
        <v>409</v>
      </c>
      <c r="G18" s="9" t="s">
        <v>410</v>
      </c>
      <c r="H18" s="9" t="s">
        <v>411</v>
      </c>
    </row>
    <row r="19" customFormat="false" ht="43.5" hidden="false" customHeight="true" outlineLevel="0" collapsed="false">
      <c r="A19" s="9" t="s">
        <v>406</v>
      </c>
      <c r="B19" s="20" t="n">
        <v>46559</v>
      </c>
      <c r="C19" s="20" t="n">
        <v>46559</v>
      </c>
      <c r="D19" s="9" t="s">
        <v>407</v>
      </c>
      <c r="E19" s="9" t="s">
        <v>417</v>
      </c>
      <c r="F19" s="9" t="s">
        <v>409</v>
      </c>
      <c r="G19" s="9" t="s">
        <v>410</v>
      </c>
      <c r="H19" s="9" t="s">
        <v>411</v>
      </c>
    </row>
    <row r="20" customFormat="false" ht="43.5" hidden="false" customHeight="true" outlineLevel="0" collapsed="false">
      <c r="A20" s="9" t="s">
        <v>406</v>
      </c>
      <c r="B20" s="20" t="n">
        <v>46566</v>
      </c>
      <c r="C20" s="20" t="n">
        <v>46566</v>
      </c>
      <c r="D20" s="9" t="s">
        <v>407</v>
      </c>
      <c r="E20" s="9" t="s">
        <v>418</v>
      </c>
      <c r="F20" s="9" t="s">
        <v>409</v>
      </c>
      <c r="G20" s="9" t="s">
        <v>410</v>
      </c>
      <c r="H20" s="9" t="s">
        <v>411</v>
      </c>
    </row>
    <row r="21" customFormat="false" ht="43.5" hidden="false" customHeight="true" outlineLevel="0" collapsed="false">
      <c r="A21" s="9" t="s">
        <v>406</v>
      </c>
      <c r="B21" s="20" t="n">
        <v>46584</v>
      </c>
      <c r="C21" s="20" t="n">
        <v>46584</v>
      </c>
      <c r="D21" s="9" t="s">
        <v>407</v>
      </c>
      <c r="E21" s="9" t="s">
        <v>419</v>
      </c>
      <c r="F21" s="9" t="s">
        <v>409</v>
      </c>
      <c r="G21" s="9" t="s">
        <v>410</v>
      </c>
      <c r="H21" s="9" t="s">
        <v>411</v>
      </c>
    </row>
    <row r="22" customFormat="false" ht="30.75" hidden="false" customHeight="true" outlineLevel="0" collapsed="false">
      <c r="A22" s="9" t="s">
        <v>420</v>
      </c>
      <c r="B22" s="20" t="n">
        <v>46603</v>
      </c>
      <c r="C22" s="20" t="n">
        <v>46603</v>
      </c>
      <c r="D22" s="9" t="s">
        <v>421</v>
      </c>
      <c r="E22" s="9" t="s">
        <v>422</v>
      </c>
      <c r="F22" s="9" t="s">
        <v>71</v>
      </c>
      <c r="G22" s="9" t="s">
        <v>423</v>
      </c>
      <c r="H22" s="9" t="s">
        <v>424</v>
      </c>
    </row>
    <row r="23" customFormat="false" ht="43.5" hidden="false" customHeight="true" outlineLevel="0" collapsed="false">
      <c r="A23" s="9" t="s">
        <v>425</v>
      </c>
      <c r="B23" s="20" t="n">
        <v>46300</v>
      </c>
      <c r="C23" s="20" t="n">
        <v>46560</v>
      </c>
      <c r="D23" s="9" t="s">
        <v>426</v>
      </c>
      <c r="E23" s="9" t="s">
        <v>427</v>
      </c>
      <c r="F23" s="9" t="s">
        <v>428</v>
      </c>
      <c r="G23" s="9" t="s">
        <v>429</v>
      </c>
      <c r="H23" s="9" t="s">
        <v>430</v>
      </c>
    </row>
    <row r="24" customFormat="false" ht="43.5" hidden="false" customHeight="true" outlineLevel="0" collapsed="false">
      <c r="A24" s="9" t="s">
        <v>425</v>
      </c>
      <c r="B24" s="20" t="n">
        <v>46300</v>
      </c>
      <c r="C24" s="20" t="n">
        <v>46518</v>
      </c>
      <c r="D24" s="9" t="s">
        <v>431</v>
      </c>
      <c r="E24" s="9" t="s">
        <v>432</v>
      </c>
      <c r="F24" s="9" t="s">
        <v>433</v>
      </c>
      <c r="G24" s="9" t="s">
        <v>434</v>
      </c>
      <c r="H24" s="9" t="s">
        <v>435</v>
      </c>
    </row>
    <row r="25" customFormat="false" ht="43.5" hidden="false" customHeight="true" outlineLevel="0" collapsed="false">
      <c r="A25" s="9" t="s">
        <v>425</v>
      </c>
      <c r="B25" s="20" t="n">
        <v>46304</v>
      </c>
      <c r="C25" s="20" t="n">
        <v>46427</v>
      </c>
      <c r="D25" s="9" t="s">
        <v>436</v>
      </c>
      <c r="E25" s="9" t="s">
        <v>437</v>
      </c>
      <c r="F25" s="9" t="s">
        <v>438</v>
      </c>
      <c r="G25" s="9" t="s">
        <v>439</v>
      </c>
      <c r="H25" s="9" t="s">
        <v>440</v>
      </c>
    </row>
    <row r="26" customFormat="false" ht="43.5" hidden="false" customHeight="true" outlineLevel="0" collapsed="false">
      <c r="A26" s="9" t="s">
        <v>441</v>
      </c>
      <c r="B26" s="20" t="n">
        <v>46300</v>
      </c>
      <c r="C26" s="20" t="n">
        <v>46560</v>
      </c>
      <c r="D26" s="9" t="s">
        <v>46</v>
      </c>
      <c r="E26" s="9" t="s">
        <v>442</v>
      </c>
      <c r="F26" s="9" t="s">
        <v>443</v>
      </c>
      <c r="G26" s="9" t="s">
        <v>444</v>
      </c>
      <c r="H26" s="9" t="s">
        <v>445</v>
      </c>
    </row>
    <row r="27" customFormat="false" ht="57" hidden="false" customHeight="true" outlineLevel="0" collapsed="false">
      <c r="A27" s="9" t="s">
        <v>446</v>
      </c>
      <c r="B27" s="20" t="n">
        <v>46398</v>
      </c>
      <c r="C27" s="20" t="n">
        <v>46444</v>
      </c>
      <c r="D27" s="9" t="s">
        <v>447</v>
      </c>
      <c r="E27" s="9" t="s">
        <v>448</v>
      </c>
      <c r="F27" s="9" t="s">
        <v>449</v>
      </c>
      <c r="G27" s="9" t="s">
        <v>450</v>
      </c>
      <c r="H27" s="9" t="s">
        <v>451</v>
      </c>
    </row>
    <row r="28" customFormat="false" ht="57" hidden="false" customHeight="true" outlineLevel="0" collapsed="false">
      <c r="A28" s="9" t="s">
        <v>452</v>
      </c>
      <c r="B28" s="20" t="n">
        <v>46531</v>
      </c>
      <c r="C28" s="20" t="n">
        <v>46560</v>
      </c>
      <c r="D28" s="9" t="s">
        <v>453</v>
      </c>
      <c r="E28" s="9" t="s">
        <v>454</v>
      </c>
      <c r="F28" s="9" t="s">
        <v>316</v>
      </c>
      <c r="G28" s="9" t="s">
        <v>455</v>
      </c>
      <c r="H28" s="9" t="s">
        <v>456</v>
      </c>
    </row>
    <row r="29" customFormat="false" ht="43.5" hidden="false" customHeight="true" outlineLevel="0" collapsed="false">
      <c r="A29" s="9" t="s">
        <v>452</v>
      </c>
      <c r="B29" s="20" t="n">
        <v>46300</v>
      </c>
      <c r="C29" s="20" t="n">
        <v>46560</v>
      </c>
      <c r="D29" s="9" t="s">
        <v>457</v>
      </c>
      <c r="E29" s="9" t="s">
        <v>458</v>
      </c>
      <c r="F29" s="9" t="s">
        <v>459</v>
      </c>
      <c r="G29" s="9" t="s">
        <v>460</v>
      </c>
      <c r="H29" s="9" t="s">
        <v>461</v>
      </c>
    </row>
    <row r="30" customFormat="false" ht="13.5" hidden="false" customHeight="false" outlineLevel="0" collapsed="false">
      <c r="A30" s="21"/>
      <c r="B30" s="22"/>
      <c r="C30" s="22"/>
      <c r="D30" s="21"/>
      <c r="E30" s="21"/>
      <c r="F30" s="21"/>
      <c r="G30" s="21"/>
      <c r="H30" s="21"/>
    </row>
    <row r="31" customFormat="false" ht="13.5" hidden="false" customHeight="false" outlineLevel="0" collapsed="false">
      <c r="A31" s="21"/>
      <c r="B31" s="22"/>
      <c r="C31" s="22"/>
      <c r="D31" s="21"/>
      <c r="E31" s="21"/>
      <c r="F31" s="21"/>
      <c r="G31" s="21"/>
      <c r="H31" s="21"/>
    </row>
    <row r="32" customFormat="false" ht="13.5" hidden="false" customHeight="false" outlineLevel="0" collapsed="false">
      <c r="A32" s="21"/>
      <c r="B32" s="22"/>
      <c r="C32" s="22"/>
      <c r="D32" s="21"/>
      <c r="E32" s="21"/>
      <c r="F32" s="21"/>
      <c r="G32" s="21"/>
      <c r="H32" s="21"/>
    </row>
    <row r="33" customFormat="false" ht="13.5" hidden="false" customHeight="false" outlineLevel="0" collapsed="false">
      <c r="A33" s="21"/>
      <c r="B33" s="22"/>
      <c r="C33" s="22"/>
      <c r="D33" s="21"/>
      <c r="E33" s="21"/>
      <c r="F33" s="21"/>
      <c r="G33" s="21"/>
      <c r="H33" s="21"/>
    </row>
    <row r="34" customFormat="false" ht="13.5" hidden="false" customHeight="false" outlineLevel="0" collapsed="false">
      <c r="A34" s="21"/>
      <c r="B34" s="22"/>
      <c r="C34" s="22"/>
      <c r="D34" s="21"/>
      <c r="E34" s="21"/>
      <c r="F34" s="21"/>
      <c r="G34" s="21"/>
      <c r="H34" s="21"/>
    </row>
    <row r="35" customFormat="false" ht="13.5" hidden="false" customHeight="false" outlineLevel="0" collapsed="false">
      <c r="A35" s="21"/>
      <c r="B35" s="22"/>
      <c r="C35" s="22"/>
      <c r="D35" s="21"/>
      <c r="E35" s="21"/>
      <c r="F35" s="21"/>
      <c r="G35" s="21"/>
      <c r="H35" s="21"/>
    </row>
    <row r="36" customFormat="false" ht="13.5" hidden="false" customHeight="false" outlineLevel="0" collapsed="false">
      <c r="A36" s="21"/>
      <c r="B36" s="22"/>
      <c r="C36" s="22"/>
      <c r="D36" s="21"/>
      <c r="E36" s="21"/>
      <c r="F36" s="21"/>
      <c r="G36" s="21"/>
      <c r="H36" s="21"/>
    </row>
    <row r="37" customFormat="false" ht="13.5" hidden="false" customHeight="false" outlineLevel="0" collapsed="false">
      <c r="A37" s="21"/>
      <c r="B37" s="22"/>
      <c r="C37" s="22"/>
      <c r="D37" s="21"/>
      <c r="E37" s="21"/>
      <c r="F37" s="21"/>
      <c r="G37" s="21"/>
      <c r="H37" s="21"/>
    </row>
    <row r="38" customFormat="false" ht="13.5" hidden="false" customHeight="false" outlineLevel="0" collapsed="false">
      <c r="A38" s="21"/>
      <c r="B38" s="22"/>
      <c r="C38" s="22"/>
      <c r="D38" s="21"/>
      <c r="E38" s="21"/>
      <c r="F38" s="21"/>
      <c r="G38" s="21"/>
      <c r="H38" s="21"/>
    </row>
    <row r="39" customFormat="false" ht="13.5" hidden="false" customHeight="false" outlineLevel="0" collapsed="false">
      <c r="A39" s="21"/>
      <c r="B39" s="22"/>
      <c r="C39" s="22"/>
      <c r="D39" s="21"/>
      <c r="E39" s="21"/>
      <c r="F39" s="21"/>
      <c r="G39" s="21"/>
      <c r="H39" s="21"/>
    </row>
    <row r="40" customFormat="false" ht="13.5" hidden="false" customHeight="false" outlineLevel="0" collapsed="false">
      <c r="A40" s="21"/>
      <c r="B40" s="22"/>
      <c r="C40" s="22"/>
      <c r="D40" s="21"/>
      <c r="E40" s="21"/>
      <c r="F40" s="21"/>
      <c r="G40" s="21"/>
      <c r="H40" s="21"/>
    </row>
    <row r="41" customFormat="false" ht="13.5" hidden="false" customHeight="false" outlineLevel="0" collapsed="false">
      <c r="A41" s="21"/>
      <c r="B41" s="22"/>
      <c r="C41" s="22"/>
      <c r="D41" s="21"/>
      <c r="E41" s="21"/>
      <c r="F41" s="21"/>
      <c r="G41" s="21"/>
      <c r="H41" s="21"/>
    </row>
    <row r="42" customFormat="false" ht="13.5" hidden="false" customHeight="false" outlineLevel="0" collapsed="false">
      <c r="A42" s="21"/>
      <c r="B42" s="22"/>
      <c r="C42" s="22"/>
      <c r="D42" s="21"/>
      <c r="E42" s="21"/>
      <c r="F42" s="21"/>
      <c r="G42" s="21"/>
      <c r="H42" s="21"/>
    </row>
  </sheetData>
  <mergeCells count="1">
    <mergeCell ref="A1:H1"/>
  </mergeCells>
  <dataValidations count="1">
    <dataValidation allowBlank="false" errorStyle="stop" operator="between" showDropDown="false" showErrorMessage="false" showInputMessage="false" sqref="A13:A42" type="list">
      <formula1>"Feriado,Vacaciones,Ausencia,Recurso compartido,Fecha comprometida,Jornada parcial,Otro"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6796875" defaultRowHeight="13.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8" min="7" style="0" width="13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28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12"/>
  </cols>
  <sheetData>
    <row r="1" customFormat="false" ht="19.5" hidden="false" customHeight="true" outlineLevel="0" collapsed="false">
      <c r="A1" s="7" t="s">
        <v>462</v>
      </c>
      <c r="B1" s="7"/>
      <c r="C1" s="7"/>
      <c r="D1" s="7"/>
      <c r="E1" s="7"/>
      <c r="F1" s="7"/>
      <c r="G1" s="7"/>
      <c r="H1" s="7"/>
      <c r="I1" s="7"/>
      <c r="J1" s="7"/>
      <c r="K1" s="7"/>
    </row>
    <row r="3" customFormat="false" ht="31.5" hidden="false" customHeight="true" outlineLevel="0" collapsed="false">
      <c r="A3" s="8" t="s">
        <v>342</v>
      </c>
      <c r="B3" s="8" t="s">
        <v>343</v>
      </c>
      <c r="C3" s="8" t="s">
        <v>344</v>
      </c>
      <c r="D3" s="8" t="s">
        <v>345</v>
      </c>
      <c r="E3" s="8" t="s">
        <v>463</v>
      </c>
      <c r="F3" s="8" t="s">
        <v>351</v>
      </c>
      <c r="G3" s="8" t="s">
        <v>464</v>
      </c>
      <c r="H3" s="8" t="s">
        <v>465</v>
      </c>
      <c r="I3" s="8" t="s">
        <v>354</v>
      </c>
      <c r="J3" s="8" t="s">
        <v>466</v>
      </c>
      <c r="K3" s="8" t="s">
        <v>41</v>
      </c>
      <c r="L3" s="8" t="s">
        <v>467</v>
      </c>
      <c r="M3" s="8" t="s">
        <v>468</v>
      </c>
      <c r="N3" s="8" t="s">
        <v>469</v>
      </c>
      <c r="O3" s="8" t="s">
        <v>470</v>
      </c>
    </row>
    <row r="4" customFormat="false" ht="30.75" hidden="false" customHeight="true" outlineLevel="0" collapsed="false">
      <c r="A4" s="23" t="s">
        <v>43</v>
      </c>
      <c r="B4" s="24" t="s">
        <v>44</v>
      </c>
      <c r="C4" s="9" t="s">
        <v>352</v>
      </c>
      <c r="D4" s="12"/>
      <c r="E4" s="11" t="n">
        <f aca="false">Planificación!I4</f>
        <v>4</v>
      </c>
      <c r="F4" s="9" t="s">
        <v>46</v>
      </c>
      <c r="G4" s="25" t="n">
        <f aca="false">WORKDAY(Calendario!$B$6-1,1,Feriados)</f>
        <v>46300</v>
      </c>
      <c r="H4" s="25" t="n">
        <f aca="false">IF(E4=0,G4,WORKDAY(G4,E4-1,Feriados))</f>
        <v>46303</v>
      </c>
      <c r="I4" s="11" t="s">
        <v>471</v>
      </c>
      <c r="J4" s="11" t="s">
        <v>472</v>
      </c>
      <c r="K4" s="9"/>
      <c r="L4" s="11" t="n">
        <v>0</v>
      </c>
      <c r="M4" s="23" t="s">
        <v>473</v>
      </c>
      <c r="N4" s="11" t="s">
        <v>42</v>
      </c>
      <c r="O4" s="11" t="s">
        <v>474</v>
      </c>
    </row>
    <row r="5" customFormat="false" ht="18" hidden="false" customHeight="true" outlineLevel="0" collapsed="false">
      <c r="A5" s="14" t="s">
        <v>49</v>
      </c>
      <c r="B5" s="10" t="s">
        <v>50</v>
      </c>
      <c r="C5" s="9" t="s">
        <v>43</v>
      </c>
      <c r="D5" s="12" t="s">
        <v>353</v>
      </c>
      <c r="E5" s="11" t="n">
        <f aca="false">Planificación!I5</f>
        <v>0</v>
      </c>
      <c r="F5" s="9" t="s">
        <v>354</v>
      </c>
      <c r="G5" s="25" t="n">
        <f aca="false">MAX(H4)</f>
        <v>46303</v>
      </c>
      <c r="H5" s="25" t="n">
        <f aca="false">IF(E5=0,G5,WORKDAY(G5,E5-1,Feriados))</f>
        <v>46303</v>
      </c>
      <c r="I5" s="11" t="s">
        <v>473</v>
      </c>
      <c r="J5" s="11" t="s">
        <v>472</v>
      </c>
      <c r="K5" s="9"/>
      <c r="L5" s="11" t="n">
        <v>0</v>
      </c>
      <c r="M5" s="23" t="s">
        <v>473</v>
      </c>
      <c r="N5" s="11" t="s">
        <v>42</v>
      </c>
      <c r="O5" s="11" t="s">
        <v>474</v>
      </c>
    </row>
    <row r="6" customFormat="false" ht="30.75" hidden="false" customHeight="true" outlineLevel="0" collapsed="false">
      <c r="A6" s="23" t="s">
        <v>55</v>
      </c>
      <c r="B6" s="24" t="s">
        <v>56</v>
      </c>
      <c r="C6" s="9" t="s">
        <v>49</v>
      </c>
      <c r="D6" s="12" t="s">
        <v>353</v>
      </c>
      <c r="E6" s="11" t="n">
        <f aca="false">Planificación!I6</f>
        <v>10</v>
      </c>
      <c r="F6" s="9" t="s">
        <v>46</v>
      </c>
      <c r="G6" s="25" t="n">
        <f aca="false">WORKDAY(H5,1,Feriados)</f>
        <v>46304</v>
      </c>
      <c r="H6" s="25" t="n">
        <f aca="false">IF(E6=0,G6,WORKDAY(G6,E6-1,Feriados))</f>
        <v>46318</v>
      </c>
      <c r="I6" s="11" t="s">
        <v>471</v>
      </c>
      <c r="J6" s="11" t="s">
        <v>472</v>
      </c>
      <c r="K6" s="9"/>
      <c r="L6" s="11" t="n">
        <v>13</v>
      </c>
      <c r="M6" s="11" t="s">
        <v>471</v>
      </c>
      <c r="N6" s="11" t="s">
        <v>42</v>
      </c>
      <c r="O6" s="11" t="s">
        <v>474</v>
      </c>
    </row>
    <row r="7" customFormat="false" ht="43.5" hidden="false" customHeight="true" outlineLevel="0" collapsed="false">
      <c r="A7" s="23" t="s">
        <v>60</v>
      </c>
      <c r="B7" s="24" t="s">
        <v>61</v>
      </c>
      <c r="C7" s="9" t="s">
        <v>55</v>
      </c>
      <c r="D7" s="12" t="s">
        <v>353</v>
      </c>
      <c r="E7" s="11" t="n">
        <f aca="false">Planificación!I7</f>
        <v>166</v>
      </c>
      <c r="F7" s="9" t="s">
        <v>46</v>
      </c>
      <c r="G7" s="25" t="n">
        <f aca="false">WORKDAY(H6,1,Feriados)</f>
        <v>46321</v>
      </c>
      <c r="H7" s="25" t="n">
        <f aca="false">IF(E7=0,G7,WORKDAY(G7,E7-1,Feriados))</f>
        <v>46560</v>
      </c>
      <c r="I7" s="11" t="s">
        <v>471</v>
      </c>
      <c r="J7" s="11" t="s">
        <v>472</v>
      </c>
      <c r="K7" s="9" t="s">
        <v>64</v>
      </c>
      <c r="L7" s="11" t="s">
        <v>352</v>
      </c>
      <c r="M7" s="11" t="s">
        <v>471</v>
      </c>
      <c r="N7" s="11" t="s">
        <v>59</v>
      </c>
      <c r="O7" s="11" t="s">
        <v>474</v>
      </c>
    </row>
    <row r="8" customFormat="false" ht="30.75" hidden="false" customHeight="true" outlineLevel="0" collapsed="false">
      <c r="A8" s="23" t="s">
        <v>66</v>
      </c>
      <c r="B8" s="24" t="s">
        <v>67</v>
      </c>
      <c r="C8" s="9" t="s">
        <v>356</v>
      </c>
      <c r="D8" s="12" t="s">
        <v>353</v>
      </c>
      <c r="E8" s="11" t="n">
        <f aca="false">Planificación!I8</f>
        <v>4</v>
      </c>
      <c r="F8" s="9" t="s">
        <v>46</v>
      </c>
      <c r="G8" s="25" t="n">
        <f aca="false">WORKDAY(MAX(H54,H55),1,Feriados)</f>
        <v>46575</v>
      </c>
      <c r="H8" s="25" t="n">
        <f aca="false">IF(E8=0,G8,WORKDAY(G8,E8-1,Feriados))</f>
        <v>46580</v>
      </c>
      <c r="I8" s="11" t="s">
        <v>471</v>
      </c>
      <c r="J8" s="11" t="s">
        <v>472</v>
      </c>
      <c r="K8" s="9"/>
      <c r="L8" s="11" t="n">
        <v>0</v>
      </c>
      <c r="M8" s="23" t="s">
        <v>473</v>
      </c>
      <c r="N8" s="11" t="s">
        <v>65</v>
      </c>
      <c r="O8" s="11" t="s">
        <v>474</v>
      </c>
    </row>
    <row r="9" customFormat="false" ht="18" hidden="false" customHeight="true" outlineLevel="0" collapsed="false">
      <c r="A9" s="14" t="s">
        <v>71</v>
      </c>
      <c r="B9" s="10" t="s">
        <v>72</v>
      </c>
      <c r="C9" s="9" t="s">
        <v>66</v>
      </c>
      <c r="D9" s="12" t="s">
        <v>353</v>
      </c>
      <c r="E9" s="11" t="n">
        <f aca="false">Planificación!I9</f>
        <v>0</v>
      </c>
      <c r="F9" s="9" t="s">
        <v>354</v>
      </c>
      <c r="G9" s="25" t="n">
        <f aca="false">MAX(H8)</f>
        <v>46580</v>
      </c>
      <c r="H9" s="25" t="n">
        <f aca="false">IF(E9=0,G9,WORKDAY(G9,E9-1,Feriados))</f>
        <v>46580</v>
      </c>
      <c r="I9" s="11" t="s">
        <v>473</v>
      </c>
      <c r="J9" s="11" t="s">
        <v>472</v>
      </c>
      <c r="K9" s="9"/>
      <c r="L9" s="11" t="n">
        <v>0</v>
      </c>
      <c r="M9" s="23" t="s">
        <v>473</v>
      </c>
      <c r="N9" s="11" t="s">
        <v>65</v>
      </c>
      <c r="O9" s="11" t="s">
        <v>474</v>
      </c>
    </row>
    <row r="10" customFormat="false" ht="43.5" hidden="false" customHeight="true" outlineLevel="0" collapsed="false">
      <c r="A10" s="23" t="s">
        <v>76</v>
      </c>
      <c r="B10" s="24" t="s">
        <v>77</v>
      </c>
      <c r="C10" s="9" t="s">
        <v>49</v>
      </c>
      <c r="D10" s="12" t="s">
        <v>353</v>
      </c>
      <c r="E10" s="11" t="n">
        <f aca="false">Planificación!I10</f>
        <v>6</v>
      </c>
      <c r="F10" s="9" t="s">
        <v>79</v>
      </c>
      <c r="G10" s="25" t="n">
        <f aca="false">WORKDAY(H5,1,Feriados)</f>
        <v>46304</v>
      </c>
      <c r="H10" s="25" t="n">
        <f aca="false">IF(E10=0,G10,WORKDAY(G10,E10-1,Feriados))</f>
        <v>46314</v>
      </c>
      <c r="I10" s="11" t="s">
        <v>471</v>
      </c>
      <c r="J10" s="11" t="s">
        <v>472</v>
      </c>
      <c r="K10" s="9" t="s">
        <v>81</v>
      </c>
      <c r="L10" s="11" t="n">
        <v>0</v>
      </c>
      <c r="M10" s="23" t="s">
        <v>473</v>
      </c>
      <c r="N10" s="11" t="s">
        <v>75</v>
      </c>
      <c r="O10" s="11" t="s">
        <v>475</v>
      </c>
    </row>
    <row r="11" customFormat="false" ht="30.75" hidden="false" customHeight="true" outlineLevel="0" collapsed="false">
      <c r="A11" s="23" t="s">
        <v>82</v>
      </c>
      <c r="B11" s="24" t="s">
        <v>83</v>
      </c>
      <c r="C11" s="9" t="s">
        <v>76</v>
      </c>
      <c r="D11" s="12" t="s">
        <v>353</v>
      </c>
      <c r="E11" s="11" t="n">
        <f aca="false">Planificación!I11</f>
        <v>4</v>
      </c>
      <c r="F11" s="9" t="s">
        <v>85</v>
      </c>
      <c r="G11" s="25" t="n">
        <f aca="false">WORKDAY(H10,1,Feriados)</f>
        <v>46315</v>
      </c>
      <c r="H11" s="25" t="n">
        <f aca="false">IF(E11=0,G11,WORKDAY(G11,E11-1,Feriados))</f>
        <v>46318</v>
      </c>
      <c r="I11" s="11" t="s">
        <v>471</v>
      </c>
      <c r="J11" s="11" t="s">
        <v>472</v>
      </c>
      <c r="K11" s="9"/>
      <c r="L11" s="11" t="n">
        <v>0</v>
      </c>
      <c r="M11" s="23" t="s">
        <v>473</v>
      </c>
      <c r="N11" s="11" t="s">
        <v>75</v>
      </c>
      <c r="O11" s="11" t="s">
        <v>475</v>
      </c>
    </row>
    <row r="12" customFormat="false" ht="43.5" hidden="false" customHeight="true" outlineLevel="0" collapsed="false">
      <c r="A12" s="23" t="s">
        <v>89</v>
      </c>
      <c r="B12" s="24" t="s">
        <v>90</v>
      </c>
      <c r="C12" s="9" t="s">
        <v>82</v>
      </c>
      <c r="D12" s="12" t="s">
        <v>353</v>
      </c>
      <c r="E12" s="11" t="n">
        <f aca="false">Planificación!I12</f>
        <v>11</v>
      </c>
      <c r="F12" s="9" t="s">
        <v>85</v>
      </c>
      <c r="G12" s="25" t="n">
        <f aca="false">WORKDAY(H11,1,Feriados)</f>
        <v>46321</v>
      </c>
      <c r="H12" s="25" t="n">
        <f aca="false">IF(E12=0,G12,WORKDAY(G12,E12-1,Feriados))</f>
        <v>46335</v>
      </c>
      <c r="I12" s="11" t="s">
        <v>471</v>
      </c>
      <c r="J12" s="11" t="s">
        <v>472</v>
      </c>
      <c r="K12" s="9"/>
      <c r="L12" s="11" t="n">
        <v>4</v>
      </c>
      <c r="M12" s="11" t="s">
        <v>471</v>
      </c>
      <c r="N12" s="11" t="s">
        <v>88</v>
      </c>
      <c r="O12" s="11" t="s">
        <v>475</v>
      </c>
    </row>
    <row r="13" customFormat="false" ht="43.5" hidden="false" customHeight="true" outlineLevel="0" collapsed="false">
      <c r="A13" s="23" t="s">
        <v>94</v>
      </c>
      <c r="B13" s="24" t="s">
        <v>95</v>
      </c>
      <c r="C13" s="9" t="s">
        <v>82</v>
      </c>
      <c r="D13" s="12" t="s">
        <v>353</v>
      </c>
      <c r="E13" s="11" t="n">
        <f aca="false">Planificación!I13</f>
        <v>7</v>
      </c>
      <c r="F13" s="9" t="s">
        <v>97</v>
      </c>
      <c r="G13" s="25" t="n">
        <f aca="false">WORKDAY(H11,1,Feriados)</f>
        <v>46321</v>
      </c>
      <c r="H13" s="25" t="n">
        <f aca="false">IF(E13=0,G13,WORKDAY(G13,E13-1,Feriados))</f>
        <v>46329</v>
      </c>
      <c r="I13" s="11" t="s">
        <v>471</v>
      </c>
      <c r="J13" s="11" t="s">
        <v>472</v>
      </c>
      <c r="K13" s="9"/>
      <c r="L13" s="11" t="n">
        <v>8</v>
      </c>
      <c r="M13" s="11" t="s">
        <v>471</v>
      </c>
      <c r="N13" s="11" t="s">
        <v>88</v>
      </c>
      <c r="O13" s="11" t="s">
        <v>475</v>
      </c>
    </row>
    <row r="14" customFormat="false" ht="43.5" hidden="false" customHeight="true" outlineLevel="0" collapsed="false">
      <c r="A14" s="23" t="s">
        <v>99</v>
      </c>
      <c r="B14" s="24" t="s">
        <v>100</v>
      </c>
      <c r="C14" s="9" t="s">
        <v>357</v>
      </c>
      <c r="D14" s="12" t="s">
        <v>353</v>
      </c>
      <c r="E14" s="11" t="n">
        <f aca="false">Planificación!I14</f>
        <v>2</v>
      </c>
      <c r="F14" s="9" t="s">
        <v>102</v>
      </c>
      <c r="G14" s="25" t="n">
        <f aca="false">WORKDAY(MAX(H12,H13),1,Feriados)</f>
        <v>46336</v>
      </c>
      <c r="H14" s="25" t="n">
        <f aca="false">IF(E14=0,G14,WORKDAY(G14,E14-1,Feriados))</f>
        <v>46337</v>
      </c>
      <c r="I14" s="11" t="s">
        <v>471</v>
      </c>
      <c r="J14" s="11" t="s">
        <v>472</v>
      </c>
      <c r="K14" s="9"/>
      <c r="L14" s="11" t="n">
        <v>4</v>
      </c>
      <c r="M14" s="11" t="s">
        <v>471</v>
      </c>
      <c r="N14" s="11" t="s">
        <v>88</v>
      </c>
      <c r="O14" s="11" t="s">
        <v>475</v>
      </c>
    </row>
    <row r="15" customFormat="false" ht="18" hidden="false" customHeight="true" outlineLevel="0" collapsed="false">
      <c r="A15" s="14" t="s">
        <v>104</v>
      </c>
      <c r="B15" s="10" t="s">
        <v>105</v>
      </c>
      <c r="C15" s="9" t="s">
        <v>99</v>
      </c>
      <c r="D15" s="12" t="s">
        <v>353</v>
      </c>
      <c r="E15" s="11" t="n">
        <f aca="false">Planificación!I15</f>
        <v>0</v>
      </c>
      <c r="F15" s="9" t="s">
        <v>354</v>
      </c>
      <c r="G15" s="25" t="n">
        <f aca="false">MAX(H14)</f>
        <v>46337</v>
      </c>
      <c r="H15" s="25" t="n">
        <f aca="false">IF(E15=0,G15,WORKDAY(G15,E15-1,Feriados))</f>
        <v>46337</v>
      </c>
      <c r="I15" s="11" t="s">
        <v>473</v>
      </c>
      <c r="J15" s="11" t="s">
        <v>472</v>
      </c>
      <c r="K15" s="9"/>
      <c r="L15" s="11" t="n">
        <v>4</v>
      </c>
      <c r="M15" s="11" t="s">
        <v>471</v>
      </c>
      <c r="N15" s="11" t="s">
        <v>88</v>
      </c>
      <c r="O15" s="11" t="s">
        <v>475</v>
      </c>
    </row>
    <row r="16" customFormat="false" ht="43.5" hidden="false" customHeight="true" outlineLevel="0" collapsed="false">
      <c r="A16" s="23" t="s">
        <v>111</v>
      </c>
      <c r="B16" s="24" t="s">
        <v>112</v>
      </c>
      <c r="C16" s="9" t="s">
        <v>49</v>
      </c>
      <c r="D16" s="12" t="s">
        <v>353</v>
      </c>
      <c r="E16" s="11" t="n">
        <f aca="false">Planificación!I16</f>
        <v>10</v>
      </c>
      <c r="F16" s="9" t="s">
        <v>114</v>
      </c>
      <c r="G16" s="25" t="n">
        <f aca="false">WORKDAY(H5,1,Feriados)</f>
        <v>46304</v>
      </c>
      <c r="H16" s="25" t="n">
        <f aca="false">IF(E16=0,G16,WORKDAY(G16,E16-1,Feriados))</f>
        <v>46318</v>
      </c>
      <c r="I16" s="11" t="s">
        <v>471</v>
      </c>
      <c r="J16" s="11" t="s">
        <v>472</v>
      </c>
      <c r="K16" s="9" t="s">
        <v>116</v>
      </c>
      <c r="L16" s="11" t="n">
        <v>0</v>
      </c>
      <c r="M16" s="23" t="s">
        <v>473</v>
      </c>
      <c r="N16" s="11" t="s">
        <v>110</v>
      </c>
      <c r="O16" s="11" t="s">
        <v>476</v>
      </c>
    </row>
    <row r="17" customFormat="false" ht="43.5" hidden="false" customHeight="true" outlineLevel="0" collapsed="false">
      <c r="A17" s="23" t="s">
        <v>117</v>
      </c>
      <c r="B17" s="24" t="s">
        <v>118</v>
      </c>
      <c r="C17" s="9" t="s">
        <v>358</v>
      </c>
      <c r="D17" s="12" t="s">
        <v>353</v>
      </c>
      <c r="E17" s="11" t="n">
        <f aca="false">Planificación!I17</f>
        <v>19</v>
      </c>
      <c r="F17" s="9" t="s">
        <v>120</v>
      </c>
      <c r="G17" s="25" t="n">
        <f aca="false">WORKDAY(MAX(H11,H16),1,Feriados)</f>
        <v>46321</v>
      </c>
      <c r="H17" s="25" t="n">
        <f aca="false">IF(E17=0,G17,WORKDAY(G17,E17-1,Feriados))</f>
        <v>46345</v>
      </c>
      <c r="I17" s="11" t="s">
        <v>471</v>
      </c>
      <c r="J17" s="11" t="s">
        <v>472</v>
      </c>
      <c r="K17" s="9"/>
      <c r="L17" s="11" t="n">
        <v>0</v>
      </c>
      <c r="M17" s="23" t="s">
        <v>473</v>
      </c>
      <c r="N17" s="11" t="s">
        <v>110</v>
      </c>
      <c r="O17" s="11" t="s">
        <v>476</v>
      </c>
    </row>
    <row r="18" customFormat="false" ht="30.75" hidden="false" customHeight="true" outlineLevel="0" collapsed="false">
      <c r="A18" s="23" t="s">
        <v>124</v>
      </c>
      <c r="B18" s="24" t="s">
        <v>125</v>
      </c>
      <c r="C18" s="9" t="s">
        <v>104</v>
      </c>
      <c r="D18" s="12" t="s">
        <v>353</v>
      </c>
      <c r="E18" s="11" t="n">
        <f aca="false">Planificación!I18</f>
        <v>19</v>
      </c>
      <c r="F18" s="9" t="s">
        <v>127</v>
      </c>
      <c r="G18" s="25" t="n">
        <f aca="false">WORKDAY(H15,1,Feriados)</f>
        <v>46338</v>
      </c>
      <c r="H18" s="25" t="n">
        <f aca="false">IF(E18=0,G18,WORKDAY(G18,E18-1,Feriados))</f>
        <v>46365</v>
      </c>
      <c r="I18" s="11" t="s">
        <v>471</v>
      </c>
      <c r="J18" s="11" t="s">
        <v>472</v>
      </c>
      <c r="K18" s="9"/>
      <c r="L18" s="11" t="n">
        <v>4</v>
      </c>
      <c r="M18" s="11" t="s">
        <v>471</v>
      </c>
      <c r="N18" s="11" t="s">
        <v>123</v>
      </c>
      <c r="O18" s="11" t="s">
        <v>476</v>
      </c>
    </row>
    <row r="19" customFormat="false" ht="18" hidden="false" customHeight="true" outlineLevel="0" collapsed="false">
      <c r="A19" s="14" t="s">
        <v>130</v>
      </c>
      <c r="B19" s="10" t="s">
        <v>131</v>
      </c>
      <c r="C19" s="9" t="s">
        <v>359</v>
      </c>
      <c r="D19" s="12" t="s">
        <v>353</v>
      </c>
      <c r="E19" s="11" t="n">
        <f aca="false">Planificación!I19</f>
        <v>0</v>
      </c>
      <c r="F19" s="9" t="s">
        <v>354</v>
      </c>
      <c r="G19" s="25" t="n">
        <f aca="false">MAX(H17,H18)</f>
        <v>46365</v>
      </c>
      <c r="H19" s="25" t="n">
        <f aca="false">IF(E19=0,G19,WORKDAY(G19,E19-1,Feriados))</f>
        <v>46365</v>
      </c>
      <c r="I19" s="11" t="s">
        <v>473</v>
      </c>
      <c r="J19" s="11" t="s">
        <v>472</v>
      </c>
      <c r="K19" s="9"/>
      <c r="L19" s="11" t="n">
        <v>4</v>
      </c>
      <c r="M19" s="11" t="s">
        <v>471</v>
      </c>
      <c r="N19" s="11" t="s">
        <v>123</v>
      </c>
      <c r="O19" s="11" t="s">
        <v>476</v>
      </c>
    </row>
    <row r="20" customFormat="false" ht="30.75" hidden="false" customHeight="true" outlineLevel="0" collapsed="false">
      <c r="A20" s="23" t="s">
        <v>137</v>
      </c>
      <c r="B20" s="24" t="s">
        <v>138</v>
      </c>
      <c r="C20" s="9" t="s">
        <v>117</v>
      </c>
      <c r="D20" s="12" t="s">
        <v>353</v>
      </c>
      <c r="E20" s="11" t="n">
        <f aca="false">Planificación!I20</f>
        <v>15</v>
      </c>
      <c r="F20" s="9" t="s">
        <v>140</v>
      </c>
      <c r="G20" s="25" t="n">
        <f aca="false">WORKDAY(H17,1,Feriados)</f>
        <v>46346</v>
      </c>
      <c r="H20" s="25" t="n">
        <f aca="false">IF(E20=0,G20,WORKDAY(G20,E20-1,Feriados))</f>
        <v>46367</v>
      </c>
      <c r="I20" s="11" t="s">
        <v>471</v>
      </c>
      <c r="J20" s="11" t="s">
        <v>472</v>
      </c>
      <c r="K20" s="9"/>
      <c r="L20" s="11" t="n">
        <v>0</v>
      </c>
      <c r="M20" s="23" t="s">
        <v>473</v>
      </c>
      <c r="N20" s="11" t="s">
        <v>136</v>
      </c>
      <c r="O20" s="11" t="s">
        <v>477</v>
      </c>
    </row>
    <row r="21" customFormat="false" ht="30.75" hidden="false" customHeight="true" outlineLevel="0" collapsed="false">
      <c r="A21" s="23" t="s">
        <v>144</v>
      </c>
      <c r="B21" s="24" t="s">
        <v>145</v>
      </c>
      <c r="C21" s="9" t="s">
        <v>360</v>
      </c>
      <c r="D21" s="12" t="s">
        <v>353</v>
      </c>
      <c r="E21" s="11" t="n">
        <f aca="false">Planificación!I21</f>
        <v>14</v>
      </c>
      <c r="F21" s="9" t="s">
        <v>147</v>
      </c>
      <c r="G21" s="25" t="n">
        <f aca="false">WORKDAY(MAX(H19,H20),1,Feriados)</f>
        <v>46370</v>
      </c>
      <c r="H21" s="25" t="n">
        <f aca="false">IF(E21=0,G21,WORKDAY(G21,E21-1,Feriados))</f>
        <v>46391</v>
      </c>
      <c r="I21" s="11" t="s">
        <v>471</v>
      </c>
      <c r="J21" s="11" t="s">
        <v>472</v>
      </c>
      <c r="K21" s="9"/>
      <c r="L21" s="11" t="n">
        <v>6</v>
      </c>
      <c r="M21" s="11" t="s">
        <v>471</v>
      </c>
      <c r="N21" s="11" t="s">
        <v>143</v>
      </c>
      <c r="O21" s="11" t="s">
        <v>477</v>
      </c>
    </row>
    <row r="22" customFormat="false" ht="30.75" hidden="false" customHeight="true" outlineLevel="0" collapsed="false">
      <c r="A22" s="23" t="s">
        <v>150</v>
      </c>
      <c r="B22" s="24" t="s">
        <v>151</v>
      </c>
      <c r="C22" s="9" t="s">
        <v>130</v>
      </c>
      <c r="D22" s="12" t="s">
        <v>353</v>
      </c>
      <c r="E22" s="11" t="n">
        <f aca="false">Planificación!I22</f>
        <v>18</v>
      </c>
      <c r="F22" s="9" t="s">
        <v>153</v>
      </c>
      <c r="G22" s="25" t="n">
        <f aca="false">WORKDAY(H19,1,Feriados)</f>
        <v>46366</v>
      </c>
      <c r="H22" s="25" t="n">
        <f aca="false">IF(E22=0,G22,WORKDAY(G22,E22-1,Feriados))</f>
        <v>46393</v>
      </c>
      <c r="I22" s="11" t="s">
        <v>471</v>
      </c>
      <c r="J22" s="11" t="s">
        <v>472</v>
      </c>
      <c r="K22" s="9"/>
      <c r="L22" s="11" t="n">
        <v>4</v>
      </c>
      <c r="M22" s="11" t="s">
        <v>471</v>
      </c>
      <c r="N22" s="11" t="s">
        <v>143</v>
      </c>
      <c r="O22" s="11" t="s">
        <v>477</v>
      </c>
    </row>
    <row r="23" customFormat="false" ht="18" hidden="false" customHeight="true" outlineLevel="0" collapsed="false">
      <c r="A23" s="14" t="s">
        <v>155</v>
      </c>
      <c r="B23" s="10" t="s">
        <v>156</v>
      </c>
      <c r="C23" s="9" t="s">
        <v>361</v>
      </c>
      <c r="D23" s="12" t="s">
        <v>353</v>
      </c>
      <c r="E23" s="11" t="n">
        <f aca="false">Planificación!I23</f>
        <v>0</v>
      </c>
      <c r="F23" s="9" t="s">
        <v>354</v>
      </c>
      <c r="G23" s="25" t="n">
        <f aca="false">MAX(H21,H22,H24)</f>
        <v>46395</v>
      </c>
      <c r="H23" s="25" t="n">
        <f aca="false">IF(E23=0,G23,WORKDAY(G23,E23-1,Feriados))</f>
        <v>46395</v>
      </c>
      <c r="I23" s="11" t="s">
        <v>473</v>
      </c>
      <c r="J23" s="11" t="s">
        <v>472</v>
      </c>
      <c r="K23" s="9"/>
      <c r="L23" s="11" t="n">
        <v>2</v>
      </c>
      <c r="M23" s="11" t="s">
        <v>471</v>
      </c>
      <c r="N23" s="11" t="s">
        <v>143</v>
      </c>
      <c r="O23" s="11" t="s">
        <v>477</v>
      </c>
    </row>
    <row r="24" customFormat="false" ht="43.5" hidden="false" customHeight="true" outlineLevel="0" collapsed="false">
      <c r="A24" s="23" t="s">
        <v>162</v>
      </c>
      <c r="B24" s="24" t="s">
        <v>163</v>
      </c>
      <c r="C24" s="9" t="s">
        <v>362</v>
      </c>
      <c r="D24" s="12" t="s">
        <v>353</v>
      </c>
      <c r="E24" s="11" t="n">
        <f aca="false">Planificación!I24</f>
        <v>18</v>
      </c>
      <c r="F24" s="9" t="s">
        <v>114</v>
      </c>
      <c r="G24" s="25" t="n">
        <f aca="false">WORKDAY(MAX(H20,H16),1,Feriados)</f>
        <v>46370</v>
      </c>
      <c r="H24" s="25" t="n">
        <f aca="false">IF(E24=0,G24,WORKDAY(G24,E24-1,Feriados))</f>
        <v>46395</v>
      </c>
      <c r="I24" s="11" t="s">
        <v>471</v>
      </c>
      <c r="J24" s="11" t="s">
        <v>472</v>
      </c>
      <c r="K24" s="9"/>
      <c r="L24" s="11" t="n">
        <v>0</v>
      </c>
      <c r="M24" s="23" t="s">
        <v>473</v>
      </c>
      <c r="N24" s="11" t="s">
        <v>161</v>
      </c>
      <c r="O24" s="11" t="s">
        <v>478</v>
      </c>
    </row>
    <row r="25" customFormat="false" ht="30.75" hidden="false" customHeight="true" outlineLevel="0" collapsed="false">
      <c r="A25" s="23" t="s">
        <v>168</v>
      </c>
      <c r="B25" s="24" t="s">
        <v>169</v>
      </c>
      <c r="C25" s="9" t="s">
        <v>162</v>
      </c>
      <c r="D25" s="12" t="s">
        <v>353</v>
      </c>
      <c r="E25" s="11" t="n">
        <f aca="false">Planificación!I25</f>
        <v>22</v>
      </c>
      <c r="F25" s="9" t="s">
        <v>114</v>
      </c>
      <c r="G25" s="25" t="n">
        <f aca="false">WORKDAY(H24,1,Feriados)</f>
        <v>46398</v>
      </c>
      <c r="H25" s="25" t="n">
        <f aca="false">IF(E25=0,G25,WORKDAY(G25,E25-1,Feriados))</f>
        <v>46427</v>
      </c>
      <c r="I25" s="11" t="s">
        <v>471</v>
      </c>
      <c r="J25" s="11" t="s">
        <v>472</v>
      </c>
      <c r="K25" s="9"/>
      <c r="L25" s="11" t="n">
        <v>0</v>
      </c>
      <c r="M25" s="23" t="s">
        <v>473</v>
      </c>
      <c r="N25" s="11" t="s">
        <v>167</v>
      </c>
      <c r="O25" s="11" t="s">
        <v>478</v>
      </c>
    </row>
    <row r="26" customFormat="false" ht="30.75" hidden="false" customHeight="true" outlineLevel="0" collapsed="false">
      <c r="A26" s="23" t="s">
        <v>173</v>
      </c>
      <c r="B26" s="24" t="s">
        <v>174</v>
      </c>
      <c r="C26" s="9" t="s">
        <v>168</v>
      </c>
      <c r="D26" s="12" t="s">
        <v>353</v>
      </c>
      <c r="E26" s="11" t="n">
        <f aca="false">Planificación!I26</f>
        <v>17</v>
      </c>
      <c r="F26" s="9" t="s">
        <v>114</v>
      </c>
      <c r="G26" s="25" t="n">
        <f aca="false">WORKDAY(H25,1,Feriados)</f>
        <v>46428</v>
      </c>
      <c r="H26" s="25" t="n">
        <f aca="false">IF(E26=0,G26,WORKDAY(G26,E26-1,Feriados))</f>
        <v>46450</v>
      </c>
      <c r="I26" s="11" t="s">
        <v>471</v>
      </c>
      <c r="J26" s="11" t="s">
        <v>472</v>
      </c>
      <c r="K26" s="9"/>
      <c r="L26" s="11" t="n">
        <v>0</v>
      </c>
      <c r="M26" s="23" t="s">
        <v>473</v>
      </c>
      <c r="N26" s="11" t="s">
        <v>167</v>
      </c>
      <c r="O26" s="11" t="s">
        <v>478</v>
      </c>
    </row>
    <row r="27" customFormat="false" ht="43.5" hidden="false" customHeight="true" outlineLevel="0" collapsed="false">
      <c r="A27" s="23" t="s">
        <v>178</v>
      </c>
      <c r="B27" s="24" t="s">
        <v>179</v>
      </c>
      <c r="C27" s="9" t="s">
        <v>155</v>
      </c>
      <c r="D27" s="12" t="s">
        <v>353</v>
      </c>
      <c r="E27" s="11" t="n">
        <f aca="false">Planificación!I27</f>
        <v>27</v>
      </c>
      <c r="F27" s="9" t="s">
        <v>147</v>
      </c>
      <c r="G27" s="25" t="n">
        <f aca="false">WORKDAY(H23,1,Feriados)</f>
        <v>46398</v>
      </c>
      <c r="H27" s="25" t="n">
        <f aca="false">IF(E27=0,G27,WORKDAY(G27,E27-1,Feriados))</f>
        <v>46434</v>
      </c>
      <c r="I27" s="11" t="s">
        <v>471</v>
      </c>
      <c r="J27" s="11" t="s">
        <v>472</v>
      </c>
      <c r="K27" s="9" t="s">
        <v>182</v>
      </c>
      <c r="L27" s="11" t="n">
        <v>2</v>
      </c>
      <c r="M27" s="11" t="s">
        <v>471</v>
      </c>
      <c r="N27" s="11" t="s">
        <v>177</v>
      </c>
      <c r="O27" s="11" t="s">
        <v>479</v>
      </c>
    </row>
    <row r="28" customFormat="false" ht="30.75" hidden="false" customHeight="true" outlineLevel="0" collapsed="false">
      <c r="A28" s="23" t="s">
        <v>183</v>
      </c>
      <c r="B28" s="24" t="s">
        <v>184</v>
      </c>
      <c r="C28" s="9" t="s">
        <v>155</v>
      </c>
      <c r="D28" s="12" t="s">
        <v>353</v>
      </c>
      <c r="E28" s="11" t="n">
        <f aca="false">Planificación!I28</f>
        <v>22</v>
      </c>
      <c r="F28" s="9" t="s">
        <v>153</v>
      </c>
      <c r="G28" s="25" t="n">
        <f aca="false">WORKDAY(H23,1,Feriados)</f>
        <v>46398</v>
      </c>
      <c r="H28" s="25" t="n">
        <f aca="false">IF(E28=0,G28,WORKDAY(G28,E28-1,Feriados))</f>
        <v>46427</v>
      </c>
      <c r="I28" s="11" t="s">
        <v>471</v>
      </c>
      <c r="J28" s="11" t="s">
        <v>472</v>
      </c>
      <c r="K28" s="9" t="s">
        <v>187</v>
      </c>
      <c r="L28" s="11" t="n">
        <v>7</v>
      </c>
      <c r="M28" s="11" t="s">
        <v>471</v>
      </c>
      <c r="N28" s="11" t="s">
        <v>177</v>
      </c>
      <c r="O28" s="11" t="s">
        <v>479</v>
      </c>
    </row>
    <row r="29" customFormat="false" ht="43.5" hidden="false" customHeight="true" outlineLevel="0" collapsed="false">
      <c r="A29" s="23" t="s">
        <v>189</v>
      </c>
      <c r="B29" s="24" t="s">
        <v>190</v>
      </c>
      <c r="C29" s="9" t="s">
        <v>155</v>
      </c>
      <c r="D29" s="12" t="s">
        <v>353</v>
      </c>
      <c r="E29" s="11" t="n">
        <f aca="false">Planificación!I29</f>
        <v>14</v>
      </c>
      <c r="F29" s="9" t="s">
        <v>192</v>
      </c>
      <c r="G29" s="25" t="n">
        <f aca="false">WORKDAY(H23,1,Feriados)</f>
        <v>46398</v>
      </c>
      <c r="H29" s="25" t="n">
        <f aca="false">IF(E29=0,G29,WORKDAY(G29,E29-1,Feriados))</f>
        <v>46415</v>
      </c>
      <c r="I29" s="11" t="s">
        <v>471</v>
      </c>
      <c r="J29" s="11" t="s">
        <v>472</v>
      </c>
      <c r="K29" s="9" t="s">
        <v>194</v>
      </c>
      <c r="L29" s="11" t="n">
        <v>4</v>
      </c>
      <c r="M29" s="11" t="s">
        <v>471</v>
      </c>
      <c r="N29" s="11" t="s">
        <v>188</v>
      </c>
      <c r="O29" s="11" t="s">
        <v>479</v>
      </c>
    </row>
    <row r="30" customFormat="false" ht="43.5" hidden="false" customHeight="true" outlineLevel="0" collapsed="false">
      <c r="A30" s="23" t="s">
        <v>196</v>
      </c>
      <c r="B30" s="24" t="s">
        <v>197</v>
      </c>
      <c r="C30" s="9" t="s">
        <v>363</v>
      </c>
      <c r="D30" s="12" t="s">
        <v>353</v>
      </c>
      <c r="E30" s="11" t="n">
        <f aca="false">Planificación!I30</f>
        <v>11</v>
      </c>
      <c r="F30" s="9" t="s">
        <v>192</v>
      </c>
      <c r="G30" s="25" t="n">
        <f aca="false">WORKDAY(MAX(H29,H24),1,Feriados)</f>
        <v>46416</v>
      </c>
      <c r="H30" s="25" t="n">
        <f aca="false">IF(E30=0,G30,WORKDAY(G30,E30-1,Feriados))</f>
        <v>46430</v>
      </c>
      <c r="I30" s="11" t="s">
        <v>471</v>
      </c>
      <c r="J30" s="11" t="s">
        <v>472</v>
      </c>
      <c r="K30" s="9" t="s">
        <v>194</v>
      </c>
      <c r="L30" s="11" t="n">
        <v>4</v>
      </c>
      <c r="M30" s="11" t="s">
        <v>471</v>
      </c>
      <c r="N30" s="11" t="s">
        <v>195</v>
      </c>
      <c r="O30" s="11" t="s">
        <v>479</v>
      </c>
    </row>
    <row r="31" customFormat="false" ht="43.5" hidden="false" customHeight="true" outlineLevel="0" collapsed="false">
      <c r="A31" s="23" t="s">
        <v>201</v>
      </c>
      <c r="B31" s="24" t="s">
        <v>202</v>
      </c>
      <c r="C31" s="9" t="s">
        <v>364</v>
      </c>
      <c r="D31" s="12" t="s">
        <v>353</v>
      </c>
      <c r="E31" s="11" t="n">
        <f aca="false">Planificación!I31</f>
        <v>16</v>
      </c>
      <c r="F31" s="9" t="s">
        <v>192</v>
      </c>
      <c r="G31" s="25" t="n">
        <f aca="false">WORKDAY(MAX(H37,H25),1,Feriados)</f>
        <v>46449</v>
      </c>
      <c r="H31" s="25" t="n">
        <f aca="false">IF(E31=0,G31,WORKDAY(G31,E31-1,Feriados))</f>
        <v>46470</v>
      </c>
      <c r="I31" s="11" t="s">
        <v>471</v>
      </c>
      <c r="J31" s="11" t="s">
        <v>472</v>
      </c>
      <c r="K31" s="9" t="s">
        <v>205</v>
      </c>
      <c r="L31" s="11" t="n">
        <v>2</v>
      </c>
      <c r="M31" s="11" t="s">
        <v>471</v>
      </c>
      <c r="N31" s="11" t="s">
        <v>200</v>
      </c>
      <c r="O31" s="11" t="s">
        <v>480</v>
      </c>
    </row>
    <row r="32" customFormat="false" ht="43.5" hidden="false" customHeight="true" outlineLevel="0" collapsed="false">
      <c r="A32" s="23" t="s">
        <v>207</v>
      </c>
      <c r="B32" s="24" t="s">
        <v>208</v>
      </c>
      <c r="C32" s="9" t="s">
        <v>196</v>
      </c>
      <c r="D32" s="12" t="s">
        <v>353</v>
      </c>
      <c r="E32" s="11" t="n">
        <f aca="false">Planificación!I32</f>
        <v>18</v>
      </c>
      <c r="F32" s="9" t="s">
        <v>192</v>
      </c>
      <c r="G32" s="25" t="n">
        <f aca="false">WORKDAY(H30,1,Feriados)</f>
        <v>46433</v>
      </c>
      <c r="H32" s="25" t="n">
        <f aca="false">IF(E32=0,G32,WORKDAY(G32,E32-1,Feriados))</f>
        <v>46456</v>
      </c>
      <c r="I32" s="11" t="s">
        <v>471</v>
      </c>
      <c r="J32" s="11" t="s">
        <v>472</v>
      </c>
      <c r="K32" s="9" t="s">
        <v>194</v>
      </c>
      <c r="L32" s="11" t="n">
        <v>12</v>
      </c>
      <c r="M32" s="11" t="s">
        <v>471</v>
      </c>
      <c r="N32" s="11" t="s">
        <v>206</v>
      </c>
      <c r="O32" s="11" t="s">
        <v>480</v>
      </c>
    </row>
    <row r="33" customFormat="false" ht="30.75" hidden="false" customHeight="true" outlineLevel="0" collapsed="false">
      <c r="A33" s="23" t="s">
        <v>212</v>
      </c>
      <c r="B33" s="24" t="s">
        <v>213</v>
      </c>
      <c r="C33" s="9" t="s">
        <v>365</v>
      </c>
      <c r="D33" s="12" t="s">
        <v>353</v>
      </c>
      <c r="E33" s="11" t="n">
        <f aca="false">Planificación!I33</f>
        <v>17</v>
      </c>
      <c r="F33" s="9" t="s">
        <v>97</v>
      </c>
      <c r="G33" s="25" t="n">
        <f aca="false">WORKDAY(MAX(H23,H13),1,Feriados)</f>
        <v>46398</v>
      </c>
      <c r="H33" s="25" t="n">
        <f aca="false">IF(E33=0,G33,WORKDAY(G33,E33-1,Feriados))</f>
        <v>46420</v>
      </c>
      <c r="I33" s="11" t="s">
        <v>471</v>
      </c>
      <c r="J33" s="11" t="s">
        <v>472</v>
      </c>
      <c r="K33" s="9"/>
      <c r="L33" s="11" t="n">
        <v>22</v>
      </c>
      <c r="M33" s="11" t="s">
        <v>471</v>
      </c>
      <c r="N33" s="11" t="s">
        <v>211</v>
      </c>
      <c r="O33" s="11" t="s">
        <v>480</v>
      </c>
    </row>
    <row r="34" customFormat="false" ht="30.75" hidden="false" customHeight="true" outlineLevel="0" collapsed="false">
      <c r="A34" s="23" t="s">
        <v>217</v>
      </c>
      <c r="B34" s="24" t="s">
        <v>218</v>
      </c>
      <c r="C34" s="9" t="s">
        <v>366</v>
      </c>
      <c r="D34" s="12" t="s">
        <v>353</v>
      </c>
      <c r="E34" s="11" t="n">
        <f aca="false">Planificación!I34</f>
        <v>16</v>
      </c>
      <c r="F34" s="9" t="s">
        <v>97</v>
      </c>
      <c r="G34" s="25" t="n">
        <f aca="false">WORKDAY(MAX(H33,H26),1,Feriados)</f>
        <v>46451</v>
      </c>
      <c r="H34" s="25" t="n">
        <f aca="false">IF(E34=0,G34,WORKDAY(G34,E34-1,Feriados))</f>
        <v>46475</v>
      </c>
      <c r="I34" s="11" t="s">
        <v>471</v>
      </c>
      <c r="J34" s="11" t="s">
        <v>472</v>
      </c>
      <c r="K34" s="9"/>
      <c r="L34" s="11" t="n">
        <v>0</v>
      </c>
      <c r="M34" s="23" t="s">
        <v>473</v>
      </c>
      <c r="N34" s="11" t="s">
        <v>211</v>
      </c>
      <c r="O34" s="11" t="s">
        <v>480</v>
      </c>
    </row>
    <row r="35" customFormat="false" ht="30.75" hidden="false" customHeight="true" outlineLevel="0" collapsed="false">
      <c r="A35" s="23" t="s">
        <v>222</v>
      </c>
      <c r="B35" s="24" t="s">
        <v>223</v>
      </c>
      <c r="C35" s="9" t="s">
        <v>104</v>
      </c>
      <c r="D35" s="12" t="s">
        <v>353</v>
      </c>
      <c r="E35" s="11" t="n">
        <f aca="false">Planificación!I35</f>
        <v>12</v>
      </c>
      <c r="F35" s="9" t="s">
        <v>225</v>
      </c>
      <c r="G35" s="25" t="n">
        <f aca="false">WORKDAY(H15,1,Feriados)</f>
        <v>46338</v>
      </c>
      <c r="H35" s="25" t="n">
        <f aca="false">IF(E35=0,G35,WORKDAY(G35,E35-1,Feriados))</f>
        <v>46353</v>
      </c>
      <c r="I35" s="11" t="s">
        <v>471</v>
      </c>
      <c r="J35" s="11" t="s">
        <v>472</v>
      </c>
      <c r="K35" s="9"/>
      <c r="L35" s="11" t="n">
        <v>56</v>
      </c>
      <c r="M35" s="11" t="s">
        <v>471</v>
      </c>
      <c r="N35" s="11" t="s">
        <v>221</v>
      </c>
      <c r="O35" s="11" t="s">
        <v>481</v>
      </c>
    </row>
    <row r="36" customFormat="false" ht="82.5" hidden="false" customHeight="true" outlineLevel="0" collapsed="false">
      <c r="A36" s="23" t="s">
        <v>228</v>
      </c>
      <c r="B36" s="24" t="s">
        <v>229</v>
      </c>
      <c r="C36" s="9" t="s">
        <v>155</v>
      </c>
      <c r="D36" s="12" t="s">
        <v>353</v>
      </c>
      <c r="E36" s="11" t="n">
        <f aca="false">Planificación!I36</f>
        <v>43</v>
      </c>
      <c r="F36" s="9" t="s">
        <v>231</v>
      </c>
      <c r="G36" s="25" t="n">
        <f aca="false">WORKDAY(H23,1,Feriados)</f>
        <v>46398</v>
      </c>
      <c r="H36" s="25" t="n">
        <f aca="false">IF(E36=0,G36,WORKDAY(G36,E36-1,Feriados))</f>
        <v>46456</v>
      </c>
      <c r="I36" s="11" t="s">
        <v>471</v>
      </c>
      <c r="J36" s="11" t="s">
        <v>472</v>
      </c>
      <c r="K36" s="9" t="s">
        <v>233</v>
      </c>
      <c r="L36" s="11" t="s">
        <v>352</v>
      </c>
      <c r="M36" s="11" t="s">
        <v>471</v>
      </c>
      <c r="N36" s="11" t="s">
        <v>221</v>
      </c>
      <c r="O36" s="11" t="s">
        <v>481</v>
      </c>
    </row>
    <row r="37" customFormat="false" ht="57" hidden="false" customHeight="true" outlineLevel="0" collapsed="false">
      <c r="A37" s="23" t="s">
        <v>235</v>
      </c>
      <c r="B37" s="24" t="s">
        <v>236</v>
      </c>
      <c r="C37" s="9" t="s">
        <v>368</v>
      </c>
      <c r="D37" s="12" t="s">
        <v>353</v>
      </c>
      <c r="E37" s="11" t="n">
        <f aca="false">Planificación!I37</f>
        <v>10</v>
      </c>
      <c r="F37" s="9" t="s">
        <v>238</v>
      </c>
      <c r="G37" s="25" t="n">
        <f aca="false">WORKDAY(MAX(H27,H28,H30,H35),1,Feriados)</f>
        <v>46435</v>
      </c>
      <c r="H37" s="25" t="n">
        <f aca="false">IF(E37=0,G37,WORKDAY(G37,E37-1,Feriados))</f>
        <v>46448</v>
      </c>
      <c r="I37" s="11" t="s">
        <v>471</v>
      </c>
      <c r="J37" s="11" t="s">
        <v>472</v>
      </c>
      <c r="K37" s="9" t="s">
        <v>240</v>
      </c>
      <c r="L37" s="11" t="n">
        <v>2</v>
      </c>
      <c r="M37" s="11" t="s">
        <v>471</v>
      </c>
      <c r="N37" s="11" t="s">
        <v>234</v>
      </c>
      <c r="O37" s="11" t="s">
        <v>481</v>
      </c>
    </row>
    <row r="38" customFormat="false" ht="43.5" hidden="false" customHeight="true" outlineLevel="0" collapsed="false">
      <c r="A38" s="23" t="s">
        <v>241</v>
      </c>
      <c r="B38" s="24" t="s">
        <v>242</v>
      </c>
      <c r="C38" s="9" t="s">
        <v>235</v>
      </c>
      <c r="D38" s="12" t="s">
        <v>353</v>
      </c>
      <c r="E38" s="11" t="n">
        <f aca="false">Planificación!I38</f>
        <v>5</v>
      </c>
      <c r="F38" s="9" t="s">
        <v>244</v>
      </c>
      <c r="G38" s="25" t="n">
        <f aca="false">WORKDAY(H37,1,Feriados)</f>
        <v>46449</v>
      </c>
      <c r="H38" s="25" t="n">
        <f aca="false">IF(E38=0,G38,WORKDAY(G38,E38-1,Feriados))</f>
        <v>46455</v>
      </c>
      <c r="I38" s="11" t="s">
        <v>471</v>
      </c>
      <c r="J38" s="11" t="s">
        <v>472</v>
      </c>
      <c r="K38" s="9" t="s">
        <v>246</v>
      </c>
      <c r="L38" s="11" t="n">
        <v>13</v>
      </c>
      <c r="M38" s="11" t="s">
        <v>471</v>
      </c>
      <c r="N38" s="11" t="s">
        <v>234</v>
      </c>
      <c r="O38" s="11" t="s">
        <v>481</v>
      </c>
    </row>
    <row r="39" customFormat="false" ht="18" hidden="false" customHeight="true" outlineLevel="0" collapsed="false">
      <c r="A39" s="14" t="s">
        <v>247</v>
      </c>
      <c r="B39" s="10" t="s">
        <v>248</v>
      </c>
      <c r="C39" s="9" t="s">
        <v>241</v>
      </c>
      <c r="D39" s="12" t="s">
        <v>353</v>
      </c>
      <c r="E39" s="11" t="n">
        <f aca="false">Planificación!I39</f>
        <v>0</v>
      </c>
      <c r="F39" s="9" t="s">
        <v>354</v>
      </c>
      <c r="G39" s="25" t="n">
        <f aca="false">MAX(H38)</f>
        <v>46455</v>
      </c>
      <c r="H39" s="25" t="n">
        <f aca="false">IF(E39=0,G39,WORKDAY(G39,E39-1,Feriados))</f>
        <v>46455</v>
      </c>
      <c r="I39" s="11" t="s">
        <v>473</v>
      </c>
      <c r="J39" s="11" t="s">
        <v>472</v>
      </c>
      <c r="K39" s="9"/>
      <c r="L39" s="11" t="n">
        <v>13</v>
      </c>
      <c r="M39" s="11" t="s">
        <v>471</v>
      </c>
      <c r="N39" s="11" t="s">
        <v>234</v>
      </c>
      <c r="O39" s="11" t="s">
        <v>481</v>
      </c>
    </row>
    <row r="40" customFormat="false" ht="57" hidden="false" customHeight="true" outlineLevel="0" collapsed="false">
      <c r="A40" s="23" t="s">
        <v>254</v>
      </c>
      <c r="B40" s="24" t="s">
        <v>255</v>
      </c>
      <c r="C40" s="9" t="s">
        <v>369</v>
      </c>
      <c r="D40" s="12" t="s">
        <v>353</v>
      </c>
      <c r="E40" s="11" t="n">
        <f aca="false">Planificación!I40</f>
        <v>10</v>
      </c>
      <c r="F40" s="9" t="s">
        <v>238</v>
      </c>
      <c r="G40" s="25" t="n">
        <f aca="false">WORKDAY(MAX(H31,H32,H34,H39),1,Feriados)</f>
        <v>46476</v>
      </c>
      <c r="H40" s="25" t="n">
        <f aca="false">IF(E40=0,G40,WORKDAY(G40,E40-1,Feriados))</f>
        <v>46489</v>
      </c>
      <c r="I40" s="11" t="s">
        <v>471</v>
      </c>
      <c r="J40" s="11" t="s">
        <v>472</v>
      </c>
      <c r="K40" s="9" t="s">
        <v>257</v>
      </c>
      <c r="L40" s="11" t="n">
        <v>0</v>
      </c>
      <c r="M40" s="23" t="s">
        <v>473</v>
      </c>
      <c r="N40" s="11" t="s">
        <v>253</v>
      </c>
      <c r="O40" s="11" t="s">
        <v>481</v>
      </c>
    </row>
    <row r="41" customFormat="false" ht="30.75" hidden="false" customHeight="true" outlineLevel="0" collapsed="false">
      <c r="A41" s="23" t="s">
        <v>258</v>
      </c>
      <c r="B41" s="24" t="s">
        <v>259</v>
      </c>
      <c r="C41" s="9" t="s">
        <v>254</v>
      </c>
      <c r="D41" s="12" t="s">
        <v>353</v>
      </c>
      <c r="E41" s="11" t="n">
        <f aca="false">Planificación!I41</f>
        <v>8</v>
      </c>
      <c r="F41" s="9" t="s">
        <v>140</v>
      </c>
      <c r="G41" s="25" t="n">
        <f aca="false">WORKDAY(H40,1,Feriados)</f>
        <v>46490</v>
      </c>
      <c r="H41" s="25" t="n">
        <f aca="false">IF(E41=0,G41,WORKDAY(G41,E41-1,Feriados))</f>
        <v>46499</v>
      </c>
      <c r="I41" s="11" t="s">
        <v>471</v>
      </c>
      <c r="J41" s="11" t="s">
        <v>472</v>
      </c>
      <c r="K41" s="9" t="s">
        <v>262</v>
      </c>
      <c r="L41" s="11" t="n">
        <v>0</v>
      </c>
      <c r="M41" s="23" t="s">
        <v>473</v>
      </c>
      <c r="N41" s="11" t="s">
        <v>253</v>
      </c>
      <c r="O41" s="11" t="s">
        <v>481</v>
      </c>
    </row>
    <row r="42" customFormat="false" ht="43.5" hidden="false" customHeight="true" outlineLevel="0" collapsed="false">
      <c r="A42" s="23" t="s">
        <v>263</v>
      </c>
      <c r="B42" s="24" t="s">
        <v>264</v>
      </c>
      <c r="C42" s="9" t="s">
        <v>254</v>
      </c>
      <c r="D42" s="12" t="s">
        <v>353</v>
      </c>
      <c r="E42" s="11" t="n">
        <f aca="false">Planificación!I42</f>
        <v>5</v>
      </c>
      <c r="F42" s="9" t="s">
        <v>244</v>
      </c>
      <c r="G42" s="25" t="n">
        <f aca="false">WORKDAY(H40,1,Feriados)</f>
        <v>46490</v>
      </c>
      <c r="H42" s="25" t="n">
        <f aca="false">IF(E42=0,G42,WORKDAY(G42,E42-1,Feriados))</f>
        <v>46496</v>
      </c>
      <c r="I42" s="11" t="s">
        <v>471</v>
      </c>
      <c r="J42" s="11" t="s">
        <v>472</v>
      </c>
      <c r="K42" s="9"/>
      <c r="L42" s="11" t="n">
        <v>3</v>
      </c>
      <c r="M42" s="11" t="s">
        <v>471</v>
      </c>
      <c r="N42" s="11" t="s">
        <v>253</v>
      </c>
      <c r="O42" s="11" t="s">
        <v>481</v>
      </c>
    </row>
    <row r="43" customFormat="false" ht="18" hidden="false" customHeight="true" outlineLevel="0" collapsed="false">
      <c r="A43" s="14" t="s">
        <v>268</v>
      </c>
      <c r="B43" s="10" t="s">
        <v>269</v>
      </c>
      <c r="C43" s="9" t="s">
        <v>371</v>
      </c>
      <c r="D43" s="12" t="s">
        <v>353</v>
      </c>
      <c r="E43" s="11" t="n">
        <f aca="false">Planificación!I43</f>
        <v>0</v>
      </c>
      <c r="F43" s="9" t="s">
        <v>354</v>
      </c>
      <c r="G43" s="25" t="n">
        <f aca="false">MAX(H42,H41)</f>
        <v>46499</v>
      </c>
      <c r="H43" s="25" t="n">
        <f aca="false">IF(E43=0,G43,WORKDAY(G43,E43-1,Feriados))</f>
        <v>46499</v>
      </c>
      <c r="I43" s="11" t="s">
        <v>473</v>
      </c>
      <c r="J43" s="11" t="s">
        <v>472</v>
      </c>
      <c r="K43" s="9"/>
      <c r="L43" s="11" t="n">
        <v>0</v>
      </c>
      <c r="M43" s="23" t="s">
        <v>473</v>
      </c>
      <c r="N43" s="11" t="s">
        <v>253</v>
      </c>
      <c r="O43" s="11" t="s">
        <v>481</v>
      </c>
    </row>
    <row r="44" customFormat="false" ht="57" hidden="false" customHeight="true" outlineLevel="0" collapsed="false">
      <c r="A44" s="23" t="s">
        <v>274</v>
      </c>
      <c r="B44" s="24" t="s">
        <v>275</v>
      </c>
      <c r="C44" s="9" t="s">
        <v>155</v>
      </c>
      <c r="D44" s="12" t="s">
        <v>353</v>
      </c>
      <c r="E44" s="11" t="n">
        <f aca="false">Planificación!I44</f>
        <v>20</v>
      </c>
      <c r="F44" s="9" t="s">
        <v>277</v>
      </c>
      <c r="G44" s="25" t="n">
        <f aca="false">WORKDAY(H23,1,Feriados)</f>
        <v>46398</v>
      </c>
      <c r="H44" s="25" t="n">
        <f aca="false">IF(E44=0,G44,WORKDAY(G44,E44-1,Feriados))</f>
        <v>46423</v>
      </c>
      <c r="I44" s="11" t="s">
        <v>471</v>
      </c>
      <c r="J44" s="11" t="s">
        <v>472</v>
      </c>
      <c r="K44" s="9" t="s">
        <v>279</v>
      </c>
      <c r="L44" s="11" t="n">
        <v>79</v>
      </c>
      <c r="M44" s="11" t="s">
        <v>471</v>
      </c>
      <c r="N44" s="11" t="s">
        <v>273</v>
      </c>
      <c r="O44" s="11" t="s">
        <v>482</v>
      </c>
    </row>
    <row r="45" customFormat="false" ht="43.5" hidden="false" customHeight="true" outlineLevel="0" collapsed="false">
      <c r="A45" s="23" t="s">
        <v>281</v>
      </c>
      <c r="B45" s="24" t="s">
        <v>282</v>
      </c>
      <c r="C45" s="9" t="s">
        <v>373</v>
      </c>
      <c r="D45" s="12" t="s">
        <v>353</v>
      </c>
      <c r="E45" s="11" t="n">
        <f aca="false">Planificación!I45</f>
        <v>8</v>
      </c>
      <c r="F45" s="9" t="s">
        <v>284</v>
      </c>
      <c r="G45" s="25" t="n">
        <f aca="false">WORKDAY(MAX(H37,H44),1,Feriados)</f>
        <v>46449</v>
      </c>
      <c r="H45" s="25" t="n">
        <f aca="false">IF(E45=0,G45,WORKDAY(G45,E45-1,Feriados))</f>
        <v>46458</v>
      </c>
      <c r="I45" s="11" t="s">
        <v>471</v>
      </c>
      <c r="J45" s="11" t="s">
        <v>472</v>
      </c>
      <c r="K45" s="9"/>
      <c r="L45" s="11" t="n">
        <v>62</v>
      </c>
      <c r="M45" s="11" t="s">
        <v>471</v>
      </c>
      <c r="N45" s="11" t="s">
        <v>280</v>
      </c>
      <c r="O45" s="11" t="s">
        <v>482</v>
      </c>
    </row>
    <row r="46" customFormat="false" ht="30.75" hidden="false" customHeight="true" outlineLevel="0" collapsed="false">
      <c r="A46" s="23" t="s">
        <v>287</v>
      </c>
      <c r="B46" s="24" t="s">
        <v>288</v>
      </c>
      <c r="C46" s="9" t="s">
        <v>374</v>
      </c>
      <c r="D46" s="12" t="s">
        <v>353</v>
      </c>
      <c r="E46" s="11" t="n">
        <f aca="false">Planificación!I46</f>
        <v>1</v>
      </c>
      <c r="F46" s="9" t="s">
        <v>140</v>
      </c>
      <c r="G46" s="25" t="n">
        <f aca="false">WORKDAY(MAX(H39,H45),1,Feriados)</f>
        <v>46461</v>
      </c>
      <c r="H46" s="25" t="n">
        <f aca="false">IF(E46=0,G46,WORKDAY(G46,E46-1,Feriados))</f>
        <v>46461</v>
      </c>
      <c r="I46" s="11" t="s">
        <v>471</v>
      </c>
      <c r="J46" s="11" t="s">
        <v>472</v>
      </c>
      <c r="K46" s="9"/>
      <c r="L46" s="11" t="n">
        <v>62</v>
      </c>
      <c r="M46" s="11" t="s">
        <v>471</v>
      </c>
      <c r="N46" s="11" t="s">
        <v>280</v>
      </c>
      <c r="O46" s="11" t="s">
        <v>482</v>
      </c>
    </row>
    <row r="47" customFormat="false" ht="30.75" hidden="false" customHeight="true" outlineLevel="0" collapsed="false">
      <c r="A47" s="14" t="s">
        <v>291</v>
      </c>
      <c r="B47" s="10" t="s">
        <v>292</v>
      </c>
      <c r="C47" s="9" t="s">
        <v>287</v>
      </c>
      <c r="D47" s="12" t="s">
        <v>353</v>
      </c>
      <c r="E47" s="11" t="n">
        <f aca="false">Planificación!I47</f>
        <v>0</v>
      </c>
      <c r="F47" s="9" t="s">
        <v>354</v>
      </c>
      <c r="G47" s="25" t="n">
        <f aca="false">MAX(H46)</f>
        <v>46461</v>
      </c>
      <c r="H47" s="25" t="n">
        <f aca="false">IF(E47=0,G47,WORKDAY(G47,E47-1,Feriados))</f>
        <v>46461</v>
      </c>
      <c r="I47" s="11" t="s">
        <v>473</v>
      </c>
      <c r="J47" s="11" t="s">
        <v>472</v>
      </c>
      <c r="K47" s="9"/>
      <c r="L47" s="11" t="n">
        <v>62</v>
      </c>
      <c r="M47" s="11" t="s">
        <v>471</v>
      </c>
      <c r="N47" s="11" t="s">
        <v>280</v>
      </c>
      <c r="O47" s="11" t="s">
        <v>482</v>
      </c>
    </row>
    <row r="48" customFormat="false" ht="57" hidden="false" customHeight="true" outlineLevel="0" collapsed="false">
      <c r="A48" s="23" t="s">
        <v>297</v>
      </c>
      <c r="B48" s="24" t="s">
        <v>298</v>
      </c>
      <c r="C48" s="9" t="s">
        <v>291</v>
      </c>
      <c r="D48" s="12" t="s">
        <v>353</v>
      </c>
      <c r="E48" s="11" t="n">
        <f aca="false">Planificación!I48</f>
        <v>19</v>
      </c>
      <c r="F48" s="9" t="s">
        <v>300</v>
      </c>
      <c r="G48" s="25" t="n">
        <f aca="false">WORKDAY(H47,1,Feriados)</f>
        <v>46462</v>
      </c>
      <c r="H48" s="25" t="n">
        <f aca="false">IF(E48=0,G48,WORKDAY(G48,E48-1,Feriados))</f>
        <v>46489</v>
      </c>
      <c r="I48" s="11" t="s">
        <v>471</v>
      </c>
      <c r="J48" s="11" t="s">
        <v>472</v>
      </c>
      <c r="K48" s="9"/>
      <c r="L48" s="11" t="n">
        <v>62</v>
      </c>
      <c r="M48" s="11" t="s">
        <v>471</v>
      </c>
      <c r="N48" s="11" t="s">
        <v>280</v>
      </c>
      <c r="O48" s="11" t="s">
        <v>482</v>
      </c>
    </row>
    <row r="49" customFormat="false" ht="43.5" hidden="false" customHeight="true" outlineLevel="0" collapsed="false">
      <c r="A49" s="23" t="s">
        <v>303</v>
      </c>
      <c r="B49" s="24" t="s">
        <v>304</v>
      </c>
      <c r="C49" s="9" t="s">
        <v>254</v>
      </c>
      <c r="D49" s="12" t="s">
        <v>353</v>
      </c>
      <c r="E49" s="11" t="n">
        <f aca="false">Planificación!I49</f>
        <v>6</v>
      </c>
      <c r="F49" s="9" t="s">
        <v>284</v>
      </c>
      <c r="G49" s="25" t="n">
        <f aca="false">WORKDAY(H40,1,Feriados)</f>
        <v>46490</v>
      </c>
      <c r="H49" s="25" t="n">
        <f aca="false">IF(E49=0,G49,WORKDAY(G49,E49-1,Feriados))</f>
        <v>46497</v>
      </c>
      <c r="I49" s="11" t="s">
        <v>471</v>
      </c>
      <c r="J49" s="11" t="s">
        <v>472</v>
      </c>
      <c r="K49" s="9"/>
      <c r="L49" s="11" t="n">
        <v>2</v>
      </c>
      <c r="M49" s="11" t="s">
        <v>471</v>
      </c>
      <c r="N49" s="11" t="s">
        <v>302</v>
      </c>
      <c r="O49" s="11" t="s">
        <v>482</v>
      </c>
    </row>
    <row r="50" customFormat="false" ht="30.75" hidden="false" customHeight="true" outlineLevel="0" collapsed="false">
      <c r="A50" s="23" t="s">
        <v>308</v>
      </c>
      <c r="B50" s="24" t="s">
        <v>309</v>
      </c>
      <c r="C50" s="9" t="s">
        <v>375</v>
      </c>
      <c r="D50" s="12" t="s">
        <v>353</v>
      </c>
      <c r="E50" s="11" t="n">
        <f aca="false">Planificación!I50</f>
        <v>1</v>
      </c>
      <c r="F50" s="9" t="s">
        <v>140</v>
      </c>
      <c r="G50" s="25" t="n">
        <f aca="false">WORKDAY(MAX(H43,H49),1,Feriados)</f>
        <v>46500</v>
      </c>
      <c r="H50" s="25" t="n">
        <f aca="false">IF(E50=0,G50,WORKDAY(G50,E50-1,Feriados))</f>
        <v>46500</v>
      </c>
      <c r="I50" s="11" t="s">
        <v>471</v>
      </c>
      <c r="J50" s="11" t="s">
        <v>472</v>
      </c>
      <c r="K50" s="9"/>
      <c r="L50" s="11" t="n">
        <v>0</v>
      </c>
      <c r="M50" s="23" t="s">
        <v>473</v>
      </c>
      <c r="N50" s="11" t="s">
        <v>302</v>
      </c>
      <c r="O50" s="11" t="s">
        <v>482</v>
      </c>
    </row>
    <row r="51" customFormat="false" ht="30.75" hidden="false" customHeight="true" outlineLevel="0" collapsed="false">
      <c r="A51" s="14" t="s">
        <v>311</v>
      </c>
      <c r="B51" s="10" t="s">
        <v>312</v>
      </c>
      <c r="C51" s="9" t="s">
        <v>308</v>
      </c>
      <c r="D51" s="12" t="s">
        <v>353</v>
      </c>
      <c r="E51" s="11" t="n">
        <f aca="false">Planificación!I51</f>
        <v>0</v>
      </c>
      <c r="F51" s="9" t="s">
        <v>354</v>
      </c>
      <c r="G51" s="25" t="n">
        <f aca="false">MAX(H50)</f>
        <v>46500</v>
      </c>
      <c r="H51" s="25" t="n">
        <f aca="false">IF(E51=0,G51,WORKDAY(G51,E51-1,Feriados))</f>
        <v>46500</v>
      </c>
      <c r="I51" s="11" t="s">
        <v>473</v>
      </c>
      <c r="J51" s="11" t="s">
        <v>472</v>
      </c>
      <c r="K51" s="9"/>
      <c r="L51" s="11" t="n">
        <v>0</v>
      </c>
      <c r="M51" s="23" t="s">
        <v>473</v>
      </c>
      <c r="N51" s="11" t="s">
        <v>302</v>
      </c>
      <c r="O51" s="11" t="s">
        <v>482</v>
      </c>
    </row>
    <row r="52" customFormat="false" ht="96" hidden="false" customHeight="true" outlineLevel="0" collapsed="false">
      <c r="A52" s="23" t="s">
        <v>316</v>
      </c>
      <c r="B52" s="24" t="s">
        <v>317</v>
      </c>
      <c r="C52" s="9" t="s">
        <v>311</v>
      </c>
      <c r="D52" s="12" t="s">
        <v>353</v>
      </c>
      <c r="E52" s="11" t="n">
        <f aca="false">Planificación!I52</f>
        <v>40</v>
      </c>
      <c r="F52" s="9" t="s">
        <v>319</v>
      </c>
      <c r="G52" s="25" t="n">
        <f aca="false">WORKDAY(H51,1,Feriados)</f>
        <v>46503</v>
      </c>
      <c r="H52" s="25" t="n">
        <f aca="false">IF(E52=0,G52,WORKDAY(G52,E52-1,Feriados))</f>
        <v>46560</v>
      </c>
      <c r="I52" s="11" t="s">
        <v>471</v>
      </c>
      <c r="J52" s="11" t="s">
        <v>472</v>
      </c>
      <c r="K52" s="9" t="s">
        <v>321</v>
      </c>
      <c r="L52" s="11" t="n">
        <v>0</v>
      </c>
      <c r="M52" s="23" t="s">
        <v>473</v>
      </c>
      <c r="N52" s="11" t="s">
        <v>302</v>
      </c>
      <c r="O52" s="11" t="s">
        <v>482</v>
      </c>
    </row>
    <row r="53" customFormat="false" ht="57" hidden="false" customHeight="true" outlineLevel="0" collapsed="false">
      <c r="A53" s="23" t="s">
        <v>323</v>
      </c>
      <c r="B53" s="24" t="s">
        <v>324</v>
      </c>
      <c r="C53" s="9" t="s">
        <v>316</v>
      </c>
      <c r="D53" s="12" t="s">
        <v>353</v>
      </c>
      <c r="E53" s="11" t="n">
        <f aca="false">Planificación!I53</f>
        <v>9</v>
      </c>
      <c r="F53" s="9" t="s">
        <v>326</v>
      </c>
      <c r="G53" s="25" t="n">
        <f aca="false">WORKDAY(H52,1,Feriados)</f>
        <v>46561</v>
      </c>
      <c r="H53" s="25" t="n">
        <f aca="false">IF(E53=0,G53,WORKDAY(G53,E53-1,Feriados))</f>
        <v>46574</v>
      </c>
      <c r="I53" s="11" t="s">
        <v>471</v>
      </c>
      <c r="J53" s="11" t="s">
        <v>472</v>
      </c>
      <c r="K53" s="9"/>
      <c r="L53" s="11" t="n">
        <v>0</v>
      </c>
      <c r="M53" s="23" t="s">
        <v>473</v>
      </c>
      <c r="N53" s="11" t="s">
        <v>322</v>
      </c>
      <c r="O53" s="11" t="s">
        <v>482</v>
      </c>
    </row>
    <row r="54" customFormat="false" ht="30.75" hidden="false" customHeight="true" outlineLevel="0" collapsed="false">
      <c r="A54" s="14" t="s">
        <v>329</v>
      </c>
      <c r="B54" s="10" t="s">
        <v>330</v>
      </c>
      <c r="C54" s="9" t="s">
        <v>323</v>
      </c>
      <c r="D54" s="12" t="s">
        <v>353</v>
      </c>
      <c r="E54" s="11" t="n">
        <f aca="false">Planificación!I54</f>
        <v>0</v>
      </c>
      <c r="F54" s="9" t="s">
        <v>354</v>
      </c>
      <c r="G54" s="25" t="n">
        <f aca="false">MAX(H53)</f>
        <v>46574</v>
      </c>
      <c r="H54" s="25" t="n">
        <f aca="false">IF(E54=0,G54,WORKDAY(G54,E54-1,Feriados))</f>
        <v>46574</v>
      </c>
      <c r="I54" s="11" t="s">
        <v>473</v>
      </c>
      <c r="J54" s="11" t="s">
        <v>472</v>
      </c>
      <c r="K54" s="9"/>
      <c r="L54" s="11" t="n">
        <v>0</v>
      </c>
      <c r="M54" s="23" t="s">
        <v>473</v>
      </c>
      <c r="N54" s="11" t="s">
        <v>322</v>
      </c>
      <c r="O54" s="11" t="s">
        <v>482</v>
      </c>
    </row>
    <row r="55" customFormat="false" ht="69.75" hidden="false" customHeight="true" outlineLevel="0" collapsed="false">
      <c r="A55" s="23" t="s">
        <v>335</v>
      </c>
      <c r="B55" s="24" t="s">
        <v>336</v>
      </c>
      <c r="C55" s="9" t="s">
        <v>311</v>
      </c>
      <c r="D55" s="12" t="s">
        <v>353</v>
      </c>
      <c r="E55" s="11" t="n">
        <f aca="false">Planificación!I55</f>
        <v>12</v>
      </c>
      <c r="F55" s="9" t="s">
        <v>338</v>
      </c>
      <c r="G55" s="25" t="n">
        <f aca="false">WORKDAY(H51,1,Feriados)</f>
        <v>46503</v>
      </c>
      <c r="H55" s="25" t="n">
        <f aca="false">IF(E55=0,G55,WORKDAY(G55,E55-1,Feriados))</f>
        <v>46518</v>
      </c>
      <c r="I55" s="11" t="s">
        <v>471</v>
      </c>
      <c r="J55" s="11" t="s">
        <v>472</v>
      </c>
      <c r="K55" s="9"/>
      <c r="L55" s="11" t="n">
        <v>37</v>
      </c>
      <c r="M55" s="11" t="s">
        <v>471</v>
      </c>
      <c r="N55" s="11" t="s">
        <v>334</v>
      </c>
      <c r="O55" s="11" t="s">
        <v>483</v>
      </c>
    </row>
    <row r="57" customFormat="false" ht="13.5" hidden="false" customHeight="false" outlineLevel="0" collapsed="false">
      <c r="B57" s="16" t="s">
        <v>484</v>
      </c>
      <c r="G57" s="18" t="n">
        <f aca="false">MIN(G4:G55)</f>
        <v>46300</v>
      </c>
    </row>
    <row r="58" customFormat="false" ht="13.5" hidden="false" customHeight="false" outlineLevel="0" collapsed="false">
      <c r="B58" s="16" t="s">
        <v>485</v>
      </c>
      <c r="H58" s="18" t="n">
        <f aca="false">MAX(H4:H55)</f>
        <v>46580</v>
      </c>
    </row>
    <row r="59" customFormat="false" ht="13.5" hidden="false" customHeight="false" outlineLevel="0" collapsed="false">
      <c r="B59" s="16" t="s">
        <v>486</v>
      </c>
      <c r="H59" s="0" t="n">
        <f aca="false">NETWORKDAYS(H58+1,Calendario!$B$7,Feriados)</f>
        <v>16</v>
      </c>
    </row>
    <row r="60" customFormat="false" ht="43.5" hidden="false" customHeight="true" outlineLevel="0" collapsed="false">
      <c r="B60" s="26" t="s">
        <v>487</v>
      </c>
      <c r="C60" s="27" t="s">
        <v>488</v>
      </c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</row>
  </sheetData>
  <mergeCells count="2">
    <mergeCell ref="A1:K1"/>
    <mergeCell ref="C60:O60"/>
  </mergeCells>
  <dataValidations count="3">
    <dataValidation allowBlank="false" errorStyle="stop" operator="between" showDropDown="false" showErrorMessage="false" showInputMessage="false" sqref="D4:D55" type="list">
      <formula1>"FS,SS,FF,SF"</formula1>
      <formula2>0</formula2>
    </dataValidation>
    <dataValidation allowBlank="false" errorStyle="stop" operator="between" showDropDown="false" showErrorMessage="false" showInputMessage="false" sqref="I4:I55" type="list">
      <formula1>"No,Sí"</formula1>
      <formula2>0</formula2>
    </dataValidation>
    <dataValidation allowBlank="false" errorStyle="stop" operator="between" showDropDown="false" showErrorMessage="false" showInputMessage="false" sqref="J4:J55" type="list">
      <formula1>"0%,25%,50%,75%,100%"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Z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6796875" defaultRowHeight="13.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4" min="3" style="0" width="11"/>
    <col collapsed="false" customWidth="true" hidden="false" outlineLevel="0" max="5" min="5" style="0" width="5"/>
    <col collapsed="false" customWidth="true" hidden="false" outlineLevel="0" max="312" min="6" style="0" width="2.7"/>
  </cols>
  <sheetData>
    <row r="1" customFormat="false" ht="19.5" hidden="false" customHeight="true" outlineLevel="0" collapsed="false">
      <c r="A1" s="7" t="s">
        <v>489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</row>
    <row r="2" customFormat="false" ht="13.5" hidden="false" customHeight="false" outlineLevel="0" collapsed="false">
      <c r="C2" s="28" t="s">
        <v>490</v>
      </c>
      <c r="D2" s="29" t="n">
        <f aca="false">Calendario!$B$7</f>
        <v>46603</v>
      </c>
      <c r="E2" s="0" t="s">
        <v>491</v>
      </c>
      <c r="F2" s="18" t="n">
        <f aca="true">IFERROR(MIN(Cronograma!G4:G55),TODAY())</f>
        <v>46300</v>
      </c>
      <c r="G2" s="30" t="str">
        <f aca="false">IF(DAY(G3)=1,G3,"")</f>
        <v/>
      </c>
      <c r="H2" s="30" t="str">
        <f aca="false">IF(DAY(H3)=1,H3,"")</f>
        <v/>
      </c>
      <c r="I2" s="30" t="str">
        <f aca="false">IF(DAY(I3)=1,I3,"")</f>
        <v/>
      </c>
      <c r="J2" s="30" t="str">
        <f aca="false">IF(DAY(J3)=1,J3,"")</f>
        <v/>
      </c>
      <c r="K2" s="30" t="str">
        <f aca="false">IF(DAY(K3)=1,K3,"")</f>
        <v/>
      </c>
      <c r="L2" s="30" t="str">
        <f aca="false">IF(DAY(L3)=1,L3,"")</f>
        <v/>
      </c>
      <c r="M2" s="30" t="str">
        <f aca="false">IF(DAY(M3)=1,M3,"")</f>
        <v/>
      </c>
      <c r="N2" s="30" t="str">
        <f aca="false">IF(DAY(N3)=1,N3,"")</f>
        <v/>
      </c>
      <c r="O2" s="30" t="str">
        <f aca="false">IF(DAY(O3)=1,O3,"")</f>
        <v/>
      </c>
      <c r="P2" s="30" t="str">
        <f aca="false">IF(DAY(P3)=1,P3,"")</f>
        <v/>
      </c>
      <c r="Q2" s="30" t="str">
        <f aca="false">IF(DAY(Q3)=1,Q3,"")</f>
        <v/>
      </c>
      <c r="R2" s="30" t="str">
        <f aca="false">IF(DAY(R3)=1,R3,"")</f>
        <v/>
      </c>
      <c r="S2" s="30" t="str">
        <f aca="false">IF(DAY(S3)=1,S3,"")</f>
        <v/>
      </c>
      <c r="T2" s="30" t="str">
        <f aca="false">IF(DAY(T3)=1,T3,"")</f>
        <v/>
      </c>
      <c r="U2" s="30" t="str">
        <f aca="false">IF(DAY(U3)=1,U3,"")</f>
        <v/>
      </c>
      <c r="V2" s="30" t="str">
        <f aca="false">IF(DAY(V3)=1,V3,"")</f>
        <v/>
      </c>
      <c r="W2" s="30" t="str">
        <f aca="false">IF(DAY(W3)=1,W3,"")</f>
        <v/>
      </c>
      <c r="X2" s="30" t="str">
        <f aca="false">IF(DAY(X3)=1,X3,"")</f>
        <v/>
      </c>
      <c r="Y2" s="30" t="str">
        <f aca="false">IF(DAY(Y3)=1,Y3,"")</f>
        <v/>
      </c>
      <c r="Z2" s="30" t="str">
        <f aca="false">IF(DAY(Z3)=1,Z3,"")</f>
        <v/>
      </c>
      <c r="AA2" s="30" t="str">
        <f aca="false">IF(DAY(AA3)=1,AA3,"")</f>
        <v/>
      </c>
      <c r="AB2" s="30" t="str">
        <f aca="false">IF(DAY(AB3)=1,AB3,"")</f>
        <v/>
      </c>
      <c r="AC2" s="30" t="str">
        <f aca="false">IF(DAY(AC3)=1,AC3,"")</f>
        <v/>
      </c>
      <c r="AD2" s="30" t="str">
        <f aca="false">IF(DAY(AD3)=1,AD3,"")</f>
        <v/>
      </c>
      <c r="AE2" s="30" t="str">
        <f aca="false">IF(DAY(AE3)=1,AE3,"")</f>
        <v/>
      </c>
      <c r="AF2" s="30" t="str">
        <f aca="false">IF(DAY(AF3)=1,AF3,"")</f>
        <v/>
      </c>
      <c r="AG2" s="30" t="n">
        <f aca="false">IF(DAY(AG3)=1,AG3,"")</f>
        <v>46327</v>
      </c>
      <c r="AH2" s="30" t="str">
        <f aca="false">IF(DAY(AH3)=1,AH3,"")</f>
        <v/>
      </c>
      <c r="AI2" s="30" t="str">
        <f aca="false">IF(DAY(AI3)=1,AI3,"")</f>
        <v/>
      </c>
      <c r="AJ2" s="30" t="str">
        <f aca="false">IF(DAY(AJ3)=1,AJ3,"")</f>
        <v/>
      </c>
      <c r="AK2" s="30" t="str">
        <f aca="false">IF(DAY(AK3)=1,AK3,"")</f>
        <v/>
      </c>
      <c r="AL2" s="30" t="str">
        <f aca="false">IF(DAY(AL3)=1,AL3,"")</f>
        <v/>
      </c>
      <c r="AM2" s="30" t="str">
        <f aca="false">IF(DAY(AM3)=1,AM3,"")</f>
        <v/>
      </c>
      <c r="AN2" s="30" t="str">
        <f aca="false">IF(DAY(AN3)=1,AN3,"")</f>
        <v/>
      </c>
      <c r="AO2" s="30" t="str">
        <f aca="false">IF(DAY(AO3)=1,AO3,"")</f>
        <v/>
      </c>
      <c r="AP2" s="30" t="str">
        <f aca="false">IF(DAY(AP3)=1,AP3,"")</f>
        <v/>
      </c>
      <c r="AQ2" s="30" t="str">
        <f aca="false">IF(DAY(AQ3)=1,AQ3,"")</f>
        <v/>
      </c>
      <c r="AR2" s="30" t="str">
        <f aca="false">IF(DAY(AR3)=1,AR3,"")</f>
        <v/>
      </c>
      <c r="AS2" s="30" t="str">
        <f aca="false">IF(DAY(AS3)=1,AS3,"")</f>
        <v/>
      </c>
      <c r="AT2" s="30" t="str">
        <f aca="false">IF(DAY(AT3)=1,AT3,"")</f>
        <v/>
      </c>
      <c r="AU2" s="30" t="str">
        <f aca="false">IF(DAY(AU3)=1,AU3,"")</f>
        <v/>
      </c>
      <c r="AV2" s="30" t="str">
        <f aca="false">IF(DAY(AV3)=1,AV3,"")</f>
        <v/>
      </c>
      <c r="AW2" s="30" t="str">
        <f aca="false">IF(DAY(AW3)=1,AW3,"")</f>
        <v/>
      </c>
      <c r="AX2" s="30" t="str">
        <f aca="false">IF(DAY(AX3)=1,AX3,"")</f>
        <v/>
      </c>
      <c r="AY2" s="30" t="str">
        <f aca="false">IF(DAY(AY3)=1,AY3,"")</f>
        <v/>
      </c>
      <c r="AZ2" s="30" t="str">
        <f aca="false">IF(DAY(AZ3)=1,AZ3,"")</f>
        <v/>
      </c>
      <c r="BA2" s="30" t="str">
        <f aca="false">IF(DAY(BA3)=1,BA3,"")</f>
        <v/>
      </c>
      <c r="BB2" s="30" t="str">
        <f aca="false">IF(DAY(BB3)=1,BB3,"")</f>
        <v/>
      </c>
      <c r="BC2" s="30" t="str">
        <f aca="false">IF(DAY(BC3)=1,BC3,"")</f>
        <v/>
      </c>
      <c r="BD2" s="30" t="str">
        <f aca="false">IF(DAY(BD3)=1,BD3,"")</f>
        <v/>
      </c>
      <c r="BE2" s="30" t="str">
        <f aca="false">IF(DAY(BE3)=1,BE3,"")</f>
        <v/>
      </c>
      <c r="BF2" s="30" t="str">
        <f aca="false">IF(DAY(BF3)=1,BF3,"")</f>
        <v/>
      </c>
      <c r="BG2" s="30" t="str">
        <f aca="false">IF(DAY(BG3)=1,BG3,"")</f>
        <v/>
      </c>
      <c r="BH2" s="30" t="str">
        <f aca="false">IF(DAY(BH3)=1,BH3,"")</f>
        <v/>
      </c>
      <c r="BI2" s="30" t="str">
        <f aca="false">IF(DAY(BI3)=1,BI3,"")</f>
        <v/>
      </c>
      <c r="BJ2" s="30" t="str">
        <f aca="false">IF(DAY(BJ3)=1,BJ3,"")</f>
        <v/>
      </c>
      <c r="BK2" s="30" t="n">
        <f aca="false">IF(DAY(BK3)=1,BK3,"")</f>
        <v>46357</v>
      </c>
      <c r="BL2" s="30" t="str">
        <f aca="false">IF(DAY(BL3)=1,BL3,"")</f>
        <v/>
      </c>
      <c r="BM2" s="30" t="str">
        <f aca="false">IF(DAY(BM3)=1,BM3,"")</f>
        <v/>
      </c>
      <c r="BN2" s="30" t="str">
        <f aca="false">IF(DAY(BN3)=1,BN3,"")</f>
        <v/>
      </c>
      <c r="BO2" s="30" t="str">
        <f aca="false">IF(DAY(BO3)=1,BO3,"")</f>
        <v/>
      </c>
      <c r="BP2" s="30" t="str">
        <f aca="false">IF(DAY(BP3)=1,BP3,"")</f>
        <v/>
      </c>
      <c r="BQ2" s="30" t="str">
        <f aca="false">IF(DAY(BQ3)=1,BQ3,"")</f>
        <v/>
      </c>
      <c r="BR2" s="30" t="str">
        <f aca="false">IF(DAY(BR3)=1,BR3,"")</f>
        <v/>
      </c>
      <c r="BS2" s="30" t="str">
        <f aca="false">IF(DAY(BS3)=1,BS3,"")</f>
        <v/>
      </c>
      <c r="BT2" s="30" t="str">
        <f aca="false">IF(DAY(BT3)=1,BT3,"")</f>
        <v/>
      </c>
      <c r="BU2" s="30" t="str">
        <f aca="false">IF(DAY(BU3)=1,BU3,"")</f>
        <v/>
      </c>
      <c r="BV2" s="30" t="str">
        <f aca="false">IF(DAY(BV3)=1,BV3,"")</f>
        <v/>
      </c>
      <c r="BW2" s="30" t="str">
        <f aca="false">IF(DAY(BW3)=1,BW3,"")</f>
        <v/>
      </c>
      <c r="BX2" s="30" t="str">
        <f aca="false">IF(DAY(BX3)=1,BX3,"")</f>
        <v/>
      </c>
      <c r="BY2" s="30" t="str">
        <f aca="false">IF(DAY(BY3)=1,BY3,"")</f>
        <v/>
      </c>
      <c r="BZ2" s="30" t="str">
        <f aca="false">IF(DAY(BZ3)=1,BZ3,"")</f>
        <v/>
      </c>
      <c r="CA2" s="30" t="str">
        <f aca="false">IF(DAY(CA3)=1,CA3,"")</f>
        <v/>
      </c>
      <c r="CB2" s="30" t="str">
        <f aca="false">IF(DAY(CB3)=1,CB3,"")</f>
        <v/>
      </c>
      <c r="CC2" s="30" t="str">
        <f aca="false">IF(DAY(CC3)=1,CC3,"")</f>
        <v/>
      </c>
      <c r="CD2" s="30" t="str">
        <f aca="false">IF(DAY(CD3)=1,CD3,"")</f>
        <v/>
      </c>
      <c r="CE2" s="30" t="str">
        <f aca="false">IF(DAY(CE3)=1,CE3,"")</f>
        <v/>
      </c>
      <c r="CF2" s="30" t="str">
        <f aca="false">IF(DAY(CF3)=1,CF3,"")</f>
        <v/>
      </c>
      <c r="CG2" s="30" t="str">
        <f aca="false">IF(DAY(CG3)=1,CG3,"")</f>
        <v/>
      </c>
      <c r="CH2" s="30" t="str">
        <f aca="false">IF(DAY(CH3)=1,CH3,"")</f>
        <v/>
      </c>
      <c r="CI2" s="30" t="str">
        <f aca="false">IF(DAY(CI3)=1,CI3,"")</f>
        <v/>
      </c>
      <c r="CJ2" s="30" t="str">
        <f aca="false">IF(DAY(CJ3)=1,CJ3,"")</f>
        <v/>
      </c>
      <c r="CK2" s="30" t="str">
        <f aca="false">IF(DAY(CK3)=1,CK3,"")</f>
        <v/>
      </c>
      <c r="CL2" s="30" t="str">
        <f aca="false">IF(DAY(CL3)=1,CL3,"")</f>
        <v/>
      </c>
      <c r="CM2" s="30" t="str">
        <f aca="false">IF(DAY(CM3)=1,CM3,"")</f>
        <v/>
      </c>
      <c r="CN2" s="30" t="str">
        <f aca="false">IF(DAY(CN3)=1,CN3,"")</f>
        <v/>
      </c>
      <c r="CO2" s="30" t="str">
        <f aca="false">IF(DAY(CO3)=1,CO3,"")</f>
        <v/>
      </c>
      <c r="CP2" s="30" t="n">
        <f aca="false">IF(DAY(CP3)=1,CP3,"")</f>
        <v>46388</v>
      </c>
      <c r="CQ2" s="30" t="str">
        <f aca="false">IF(DAY(CQ3)=1,CQ3,"")</f>
        <v/>
      </c>
      <c r="CR2" s="30" t="str">
        <f aca="false">IF(DAY(CR3)=1,CR3,"")</f>
        <v/>
      </c>
      <c r="CS2" s="30" t="str">
        <f aca="false">IF(DAY(CS3)=1,CS3,"")</f>
        <v/>
      </c>
      <c r="CT2" s="30" t="str">
        <f aca="false">IF(DAY(CT3)=1,CT3,"")</f>
        <v/>
      </c>
      <c r="CU2" s="30" t="str">
        <f aca="false">IF(DAY(CU3)=1,CU3,"")</f>
        <v/>
      </c>
      <c r="CV2" s="30" t="str">
        <f aca="false">IF(DAY(CV3)=1,CV3,"")</f>
        <v/>
      </c>
      <c r="CW2" s="30" t="str">
        <f aca="false">IF(DAY(CW3)=1,CW3,"")</f>
        <v/>
      </c>
      <c r="CX2" s="30" t="str">
        <f aca="false">IF(DAY(CX3)=1,CX3,"")</f>
        <v/>
      </c>
      <c r="CY2" s="30" t="str">
        <f aca="false">IF(DAY(CY3)=1,CY3,"")</f>
        <v/>
      </c>
      <c r="CZ2" s="30" t="str">
        <f aca="false">IF(DAY(CZ3)=1,CZ3,"")</f>
        <v/>
      </c>
      <c r="DA2" s="30" t="str">
        <f aca="false">IF(DAY(DA3)=1,DA3,"")</f>
        <v/>
      </c>
      <c r="DB2" s="30" t="str">
        <f aca="false">IF(DAY(DB3)=1,DB3,"")</f>
        <v/>
      </c>
      <c r="DC2" s="30" t="str">
        <f aca="false">IF(DAY(DC3)=1,DC3,"")</f>
        <v/>
      </c>
      <c r="DD2" s="30" t="str">
        <f aca="false">IF(DAY(DD3)=1,DD3,"")</f>
        <v/>
      </c>
      <c r="DE2" s="30" t="str">
        <f aca="false">IF(DAY(DE3)=1,DE3,"")</f>
        <v/>
      </c>
      <c r="DF2" s="30" t="str">
        <f aca="false">IF(DAY(DF3)=1,DF3,"")</f>
        <v/>
      </c>
      <c r="DG2" s="30" t="str">
        <f aca="false">IF(DAY(DG3)=1,DG3,"")</f>
        <v/>
      </c>
      <c r="DH2" s="30" t="str">
        <f aca="false">IF(DAY(DH3)=1,DH3,"")</f>
        <v/>
      </c>
      <c r="DI2" s="30" t="str">
        <f aca="false">IF(DAY(DI3)=1,DI3,"")</f>
        <v/>
      </c>
      <c r="DJ2" s="30" t="str">
        <f aca="false">IF(DAY(DJ3)=1,DJ3,"")</f>
        <v/>
      </c>
      <c r="DK2" s="30" t="str">
        <f aca="false">IF(DAY(DK3)=1,DK3,"")</f>
        <v/>
      </c>
      <c r="DL2" s="30" t="str">
        <f aca="false">IF(DAY(DL3)=1,DL3,"")</f>
        <v/>
      </c>
      <c r="DM2" s="30" t="str">
        <f aca="false">IF(DAY(DM3)=1,DM3,"")</f>
        <v/>
      </c>
      <c r="DN2" s="30" t="str">
        <f aca="false">IF(DAY(DN3)=1,DN3,"")</f>
        <v/>
      </c>
      <c r="DO2" s="30" t="str">
        <f aca="false">IF(DAY(DO3)=1,DO3,"")</f>
        <v/>
      </c>
      <c r="DP2" s="30" t="str">
        <f aca="false">IF(DAY(DP3)=1,DP3,"")</f>
        <v/>
      </c>
      <c r="DQ2" s="30" t="str">
        <f aca="false">IF(DAY(DQ3)=1,DQ3,"")</f>
        <v/>
      </c>
      <c r="DR2" s="30" t="str">
        <f aca="false">IF(DAY(DR3)=1,DR3,"")</f>
        <v/>
      </c>
      <c r="DS2" s="30" t="str">
        <f aca="false">IF(DAY(DS3)=1,DS3,"")</f>
        <v/>
      </c>
      <c r="DT2" s="30" t="str">
        <f aca="false">IF(DAY(DT3)=1,DT3,"")</f>
        <v/>
      </c>
      <c r="DU2" s="30" t="n">
        <f aca="false">IF(DAY(DU3)=1,DU3,"")</f>
        <v>46419</v>
      </c>
      <c r="DV2" s="30" t="str">
        <f aca="false">IF(DAY(DV3)=1,DV3,"")</f>
        <v/>
      </c>
      <c r="DW2" s="30" t="str">
        <f aca="false">IF(DAY(DW3)=1,DW3,"")</f>
        <v/>
      </c>
      <c r="DX2" s="30" t="str">
        <f aca="false">IF(DAY(DX3)=1,DX3,"")</f>
        <v/>
      </c>
      <c r="DY2" s="30" t="str">
        <f aca="false">IF(DAY(DY3)=1,DY3,"")</f>
        <v/>
      </c>
      <c r="DZ2" s="30" t="str">
        <f aca="false">IF(DAY(DZ3)=1,DZ3,"")</f>
        <v/>
      </c>
      <c r="EA2" s="30" t="str">
        <f aca="false">IF(DAY(EA3)=1,EA3,"")</f>
        <v/>
      </c>
      <c r="EB2" s="30" t="str">
        <f aca="false">IF(DAY(EB3)=1,EB3,"")</f>
        <v/>
      </c>
      <c r="EC2" s="30" t="str">
        <f aca="false">IF(DAY(EC3)=1,EC3,"")</f>
        <v/>
      </c>
      <c r="ED2" s="30" t="str">
        <f aca="false">IF(DAY(ED3)=1,ED3,"")</f>
        <v/>
      </c>
      <c r="EE2" s="30" t="str">
        <f aca="false">IF(DAY(EE3)=1,EE3,"")</f>
        <v/>
      </c>
      <c r="EF2" s="30" t="str">
        <f aca="false">IF(DAY(EF3)=1,EF3,"")</f>
        <v/>
      </c>
      <c r="EG2" s="30" t="str">
        <f aca="false">IF(DAY(EG3)=1,EG3,"")</f>
        <v/>
      </c>
      <c r="EH2" s="30" t="str">
        <f aca="false">IF(DAY(EH3)=1,EH3,"")</f>
        <v/>
      </c>
      <c r="EI2" s="30" t="str">
        <f aca="false">IF(DAY(EI3)=1,EI3,"")</f>
        <v/>
      </c>
      <c r="EJ2" s="30" t="str">
        <f aca="false">IF(DAY(EJ3)=1,EJ3,"")</f>
        <v/>
      </c>
      <c r="EK2" s="30" t="str">
        <f aca="false">IF(DAY(EK3)=1,EK3,"")</f>
        <v/>
      </c>
      <c r="EL2" s="30" t="str">
        <f aca="false">IF(DAY(EL3)=1,EL3,"")</f>
        <v/>
      </c>
      <c r="EM2" s="30" t="str">
        <f aca="false">IF(DAY(EM3)=1,EM3,"")</f>
        <v/>
      </c>
      <c r="EN2" s="30" t="str">
        <f aca="false">IF(DAY(EN3)=1,EN3,"")</f>
        <v/>
      </c>
      <c r="EO2" s="30" t="str">
        <f aca="false">IF(DAY(EO3)=1,EO3,"")</f>
        <v/>
      </c>
      <c r="EP2" s="30" t="str">
        <f aca="false">IF(DAY(EP3)=1,EP3,"")</f>
        <v/>
      </c>
      <c r="EQ2" s="30" t="str">
        <f aca="false">IF(DAY(EQ3)=1,EQ3,"")</f>
        <v/>
      </c>
      <c r="ER2" s="30" t="str">
        <f aca="false">IF(DAY(ER3)=1,ER3,"")</f>
        <v/>
      </c>
      <c r="ES2" s="30" t="str">
        <f aca="false">IF(DAY(ES3)=1,ES3,"")</f>
        <v/>
      </c>
      <c r="ET2" s="30" t="str">
        <f aca="false">IF(DAY(ET3)=1,ET3,"")</f>
        <v/>
      </c>
      <c r="EU2" s="30" t="str">
        <f aca="false">IF(DAY(EU3)=1,EU3,"")</f>
        <v/>
      </c>
      <c r="EV2" s="30" t="str">
        <f aca="false">IF(DAY(EV3)=1,EV3,"")</f>
        <v/>
      </c>
      <c r="EW2" s="30" t="n">
        <f aca="false">IF(DAY(EW3)=1,EW3,"")</f>
        <v>46447</v>
      </c>
      <c r="EX2" s="30" t="str">
        <f aca="false">IF(DAY(EX3)=1,EX3,"")</f>
        <v/>
      </c>
      <c r="EY2" s="30" t="str">
        <f aca="false">IF(DAY(EY3)=1,EY3,"")</f>
        <v/>
      </c>
      <c r="EZ2" s="30" t="str">
        <f aca="false">IF(DAY(EZ3)=1,EZ3,"")</f>
        <v/>
      </c>
      <c r="FA2" s="30" t="str">
        <f aca="false">IF(DAY(FA3)=1,FA3,"")</f>
        <v/>
      </c>
      <c r="FB2" s="30" t="str">
        <f aca="false">IF(DAY(FB3)=1,FB3,"")</f>
        <v/>
      </c>
      <c r="FC2" s="30" t="str">
        <f aca="false">IF(DAY(FC3)=1,FC3,"")</f>
        <v/>
      </c>
      <c r="FD2" s="30" t="str">
        <f aca="false">IF(DAY(FD3)=1,FD3,"")</f>
        <v/>
      </c>
      <c r="FE2" s="30" t="str">
        <f aca="false">IF(DAY(FE3)=1,FE3,"")</f>
        <v/>
      </c>
      <c r="FF2" s="30" t="str">
        <f aca="false">IF(DAY(FF3)=1,FF3,"")</f>
        <v/>
      </c>
      <c r="FG2" s="30" t="str">
        <f aca="false">IF(DAY(FG3)=1,FG3,"")</f>
        <v/>
      </c>
      <c r="FH2" s="30" t="str">
        <f aca="false">IF(DAY(FH3)=1,FH3,"")</f>
        <v/>
      </c>
      <c r="FI2" s="30" t="str">
        <f aca="false">IF(DAY(FI3)=1,FI3,"")</f>
        <v/>
      </c>
      <c r="FJ2" s="30" t="str">
        <f aca="false">IF(DAY(FJ3)=1,FJ3,"")</f>
        <v/>
      </c>
      <c r="FK2" s="30" t="str">
        <f aca="false">IF(DAY(FK3)=1,FK3,"")</f>
        <v/>
      </c>
      <c r="FL2" s="30" t="str">
        <f aca="false">IF(DAY(FL3)=1,FL3,"")</f>
        <v/>
      </c>
      <c r="FM2" s="30" t="str">
        <f aca="false">IF(DAY(FM3)=1,FM3,"")</f>
        <v/>
      </c>
      <c r="FN2" s="30" t="str">
        <f aca="false">IF(DAY(FN3)=1,FN3,"")</f>
        <v/>
      </c>
      <c r="FO2" s="30" t="str">
        <f aca="false">IF(DAY(FO3)=1,FO3,"")</f>
        <v/>
      </c>
      <c r="FP2" s="30" t="str">
        <f aca="false">IF(DAY(FP3)=1,FP3,"")</f>
        <v/>
      </c>
      <c r="FQ2" s="30" t="str">
        <f aca="false">IF(DAY(FQ3)=1,FQ3,"")</f>
        <v/>
      </c>
      <c r="FR2" s="30" t="str">
        <f aca="false">IF(DAY(FR3)=1,FR3,"")</f>
        <v/>
      </c>
      <c r="FS2" s="30" t="str">
        <f aca="false">IF(DAY(FS3)=1,FS3,"")</f>
        <v/>
      </c>
      <c r="FT2" s="30" t="str">
        <f aca="false">IF(DAY(FT3)=1,FT3,"")</f>
        <v/>
      </c>
      <c r="FU2" s="30" t="str">
        <f aca="false">IF(DAY(FU3)=1,FU3,"")</f>
        <v/>
      </c>
      <c r="FV2" s="30" t="str">
        <f aca="false">IF(DAY(FV3)=1,FV3,"")</f>
        <v/>
      </c>
      <c r="FW2" s="30" t="str">
        <f aca="false">IF(DAY(FW3)=1,FW3,"")</f>
        <v/>
      </c>
      <c r="FX2" s="30" t="str">
        <f aca="false">IF(DAY(FX3)=1,FX3,"")</f>
        <v/>
      </c>
      <c r="FY2" s="30" t="str">
        <f aca="false">IF(DAY(FY3)=1,FY3,"")</f>
        <v/>
      </c>
      <c r="FZ2" s="30" t="str">
        <f aca="false">IF(DAY(FZ3)=1,FZ3,"")</f>
        <v/>
      </c>
      <c r="GA2" s="30" t="str">
        <f aca="false">IF(DAY(GA3)=1,GA3,"")</f>
        <v/>
      </c>
      <c r="GB2" s="30" t="n">
        <f aca="false">IF(DAY(GB3)=1,GB3,"")</f>
        <v>46478</v>
      </c>
      <c r="GC2" s="30" t="str">
        <f aca="false">IF(DAY(GC3)=1,GC3,"")</f>
        <v/>
      </c>
      <c r="GD2" s="30" t="str">
        <f aca="false">IF(DAY(GD3)=1,GD3,"")</f>
        <v/>
      </c>
      <c r="GE2" s="30" t="str">
        <f aca="false">IF(DAY(GE3)=1,GE3,"")</f>
        <v/>
      </c>
      <c r="GF2" s="30" t="str">
        <f aca="false">IF(DAY(GF3)=1,GF3,"")</f>
        <v/>
      </c>
      <c r="GG2" s="30" t="str">
        <f aca="false">IF(DAY(GG3)=1,GG3,"")</f>
        <v/>
      </c>
      <c r="GH2" s="30" t="str">
        <f aca="false">IF(DAY(GH3)=1,GH3,"")</f>
        <v/>
      </c>
      <c r="GI2" s="30" t="str">
        <f aca="false">IF(DAY(GI3)=1,GI3,"")</f>
        <v/>
      </c>
      <c r="GJ2" s="30" t="str">
        <f aca="false">IF(DAY(GJ3)=1,GJ3,"")</f>
        <v/>
      </c>
      <c r="GK2" s="30" t="str">
        <f aca="false">IF(DAY(GK3)=1,GK3,"")</f>
        <v/>
      </c>
      <c r="GL2" s="30" t="str">
        <f aca="false">IF(DAY(GL3)=1,GL3,"")</f>
        <v/>
      </c>
      <c r="GM2" s="30" t="str">
        <f aca="false">IF(DAY(GM3)=1,GM3,"")</f>
        <v/>
      </c>
      <c r="GN2" s="30" t="str">
        <f aca="false">IF(DAY(GN3)=1,GN3,"")</f>
        <v/>
      </c>
      <c r="GO2" s="30" t="str">
        <f aca="false">IF(DAY(GO3)=1,GO3,"")</f>
        <v/>
      </c>
      <c r="GP2" s="30" t="str">
        <f aca="false">IF(DAY(GP3)=1,GP3,"")</f>
        <v/>
      </c>
      <c r="GQ2" s="30" t="str">
        <f aca="false">IF(DAY(GQ3)=1,GQ3,"")</f>
        <v/>
      </c>
      <c r="GR2" s="30" t="str">
        <f aca="false">IF(DAY(GR3)=1,GR3,"")</f>
        <v/>
      </c>
      <c r="GS2" s="30" t="str">
        <f aca="false">IF(DAY(GS3)=1,GS3,"")</f>
        <v/>
      </c>
      <c r="GT2" s="30" t="str">
        <f aca="false">IF(DAY(GT3)=1,GT3,"")</f>
        <v/>
      </c>
      <c r="GU2" s="30" t="str">
        <f aca="false">IF(DAY(GU3)=1,GU3,"")</f>
        <v/>
      </c>
      <c r="GV2" s="30" t="str">
        <f aca="false">IF(DAY(GV3)=1,GV3,"")</f>
        <v/>
      </c>
      <c r="GW2" s="30" t="str">
        <f aca="false">IF(DAY(GW3)=1,GW3,"")</f>
        <v/>
      </c>
      <c r="GX2" s="30" t="str">
        <f aca="false">IF(DAY(GX3)=1,GX3,"")</f>
        <v/>
      </c>
      <c r="GY2" s="30" t="str">
        <f aca="false">IF(DAY(GY3)=1,GY3,"")</f>
        <v/>
      </c>
      <c r="GZ2" s="30" t="str">
        <f aca="false">IF(DAY(GZ3)=1,GZ3,"")</f>
        <v/>
      </c>
      <c r="HA2" s="30" t="str">
        <f aca="false">IF(DAY(HA3)=1,HA3,"")</f>
        <v/>
      </c>
      <c r="HB2" s="30" t="str">
        <f aca="false">IF(DAY(HB3)=1,HB3,"")</f>
        <v/>
      </c>
      <c r="HC2" s="30" t="str">
        <f aca="false">IF(DAY(HC3)=1,HC3,"")</f>
        <v/>
      </c>
      <c r="HD2" s="30" t="str">
        <f aca="false">IF(DAY(HD3)=1,HD3,"")</f>
        <v/>
      </c>
      <c r="HE2" s="30" t="str">
        <f aca="false">IF(DAY(HE3)=1,HE3,"")</f>
        <v/>
      </c>
      <c r="HF2" s="30" t="n">
        <f aca="false">IF(DAY(HF3)=1,HF3,"")</f>
        <v>46508</v>
      </c>
      <c r="HG2" s="30" t="str">
        <f aca="false">IF(DAY(HG3)=1,HG3,"")</f>
        <v/>
      </c>
      <c r="HH2" s="30" t="str">
        <f aca="false">IF(DAY(HH3)=1,HH3,"")</f>
        <v/>
      </c>
      <c r="HI2" s="30" t="str">
        <f aca="false">IF(DAY(HI3)=1,HI3,"")</f>
        <v/>
      </c>
      <c r="HJ2" s="30" t="str">
        <f aca="false">IF(DAY(HJ3)=1,HJ3,"")</f>
        <v/>
      </c>
      <c r="HK2" s="30" t="str">
        <f aca="false">IF(DAY(HK3)=1,HK3,"")</f>
        <v/>
      </c>
      <c r="HL2" s="30" t="str">
        <f aca="false">IF(DAY(HL3)=1,HL3,"")</f>
        <v/>
      </c>
      <c r="HM2" s="30" t="str">
        <f aca="false">IF(DAY(HM3)=1,HM3,"")</f>
        <v/>
      </c>
      <c r="HN2" s="30" t="str">
        <f aca="false">IF(DAY(HN3)=1,HN3,"")</f>
        <v/>
      </c>
      <c r="HO2" s="30" t="str">
        <f aca="false">IF(DAY(HO3)=1,HO3,"")</f>
        <v/>
      </c>
      <c r="HP2" s="30" t="str">
        <f aca="false">IF(DAY(HP3)=1,HP3,"")</f>
        <v/>
      </c>
      <c r="HQ2" s="30" t="str">
        <f aca="false">IF(DAY(HQ3)=1,HQ3,"")</f>
        <v/>
      </c>
      <c r="HR2" s="30" t="str">
        <f aca="false">IF(DAY(HR3)=1,HR3,"")</f>
        <v/>
      </c>
      <c r="HS2" s="30" t="str">
        <f aca="false">IF(DAY(HS3)=1,HS3,"")</f>
        <v/>
      </c>
      <c r="HT2" s="30" t="str">
        <f aca="false">IF(DAY(HT3)=1,HT3,"")</f>
        <v/>
      </c>
      <c r="HU2" s="30" t="str">
        <f aca="false">IF(DAY(HU3)=1,HU3,"")</f>
        <v/>
      </c>
      <c r="HV2" s="30" t="str">
        <f aca="false">IF(DAY(HV3)=1,HV3,"")</f>
        <v/>
      </c>
      <c r="HW2" s="30" t="str">
        <f aca="false">IF(DAY(HW3)=1,HW3,"")</f>
        <v/>
      </c>
      <c r="HX2" s="30" t="str">
        <f aca="false">IF(DAY(HX3)=1,HX3,"")</f>
        <v/>
      </c>
      <c r="HY2" s="30" t="str">
        <f aca="false">IF(DAY(HY3)=1,HY3,"")</f>
        <v/>
      </c>
      <c r="HZ2" s="30" t="str">
        <f aca="false">IF(DAY(HZ3)=1,HZ3,"")</f>
        <v/>
      </c>
      <c r="IA2" s="30" t="str">
        <f aca="false">IF(DAY(IA3)=1,IA3,"")</f>
        <v/>
      </c>
      <c r="IB2" s="30" t="str">
        <f aca="false">IF(DAY(IB3)=1,IB3,"")</f>
        <v/>
      </c>
      <c r="IC2" s="30" t="str">
        <f aca="false">IF(DAY(IC3)=1,IC3,"")</f>
        <v/>
      </c>
      <c r="ID2" s="30" t="str">
        <f aca="false">IF(DAY(ID3)=1,ID3,"")</f>
        <v/>
      </c>
      <c r="IE2" s="30" t="str">
        <f aca="false">IF(DAY(IE3)=1,IE3,"")</f>
        <v/>
      </c>
      <c r="IF2" s="30" t="str">
        <f aca="false">IF(DAY(IF3)=1,IF3,"")</f>
        <v/>
      </c>
      <c r="IG2" s="30" t="str">
        <f aca="false">IF(DAY(IG3)=1,IG3,"")</f>
        <v/>
      </c>
      <c r="IH2" s="30" t="str">
        <f aca="false">IF(DAY(IH3)=1,IH3,"")</f>
        <v/>
      </c>
      <c r="II2" s="30" t="str">
        <f aca="false">IF(DAY(II3)=1,II3,"")</f>
        <v/>
      </c>
      <c r="IJ2" s="30" t="str">
        <f aca="false">IF(DAY(IJ3)=1,IJ3,"")</f>
        <v/>
      </c>
      <c r="IK2" s="30" t="n">
        <f aca="false">IF(DAY(IK3)=1,IK3,"")</f>
        <v>46539</v>
      </c>
      <c r="IL2" s="30" t="str">
        <f aca="false">IF(DAY(IL3)=1,IL3,"")</f>
        <v/>
      </c>
      <c r="IM2" s="30" t="str">
        <f aca="false">IF(DAY(IM3)=1,IM3,"")</f>
        <v/>
      </c>
      <c r="IN2" s="30" t="str">
        <f aca="false">IF(DAY(IN3)=1,IN3,"")</f>
        <v/>
      </c>
      <c r="IO2" s="30" t="str">
        <f aca="false">IF(DAY(IO3)=1,IO3,"")</f>
        <v/>
      </c>
      <c r="IP2" s="30" t="str">
        <f aca="false">IF(DAY(IP3)=1,IP3,"")</f>
        <v/>
      </c>
      <c r="IQ2" s="30" t="str">
        <f aca="false">IF(DAY(IQ3)=1,IQ3,"")</f>
        <v/>
      </c>
      <c r="IR2" s="30" t="str">
        <f aca="false">IF(DAY(IR3)=1,IR3,"")</f>
        <v/>
      </c>
      <c r="IS2" s="30" t="str">
        <f aca="false">IF(DAY(IS3)=1,IS3,"")</f>
        <v/>
      </c>
      <c r="IT2" s="30" t="str">
        <f aca="false">IF(DAY(IT3)=1,IT3,"")</f>
        <v/>
      </c>
      <c r="IU2" s="30" t="str">
        <f aca="false">IF(DAY(IU3)=1,IU3,"")</f>
        <v/>
      </c>
      <c r="IV2" s="30" t="str">
        <f aca="false">IF(DAY(IV3)=1,IV3,"")</f>
        <v/>
      </c>
      <c r="IW2" s="30" t="str">
        <f aca="false">IF(DAY(IW3)=1,IW3,"")</f>
        <v/>
      </c>
      <c r="IX2" s="30" t="str">
        <f aca="false">IF(DAY(IX3)=1,IX3,"")</f>
        <v/>
      </c>
      <c r="IY2" s="30" t="str">
        <f aca="false">IF(DAY(IY3)=1,IY3,"")</f>
        <v/>
      </c>
      <c r="IZ2" s="30" t="str">
        <f aca="false">IF(DAY(IZ3)=1,IZ3,"")</f>
        <v/>
      </c>
      <c r="JA2" s="30" t="str">
        <f aca="false">IF(DAY(JA3)=1,JA3,"")</f>
        <v/>
      </c>
      <c r="JB2" s="30" t="str">
        <f aca="false">IF(DAY(JB3)=1,JB3,"")</f>
        <v/>
      </c>
      <c r="JC2" s="30" t="str">
        <f aca="false">IF(DAY(JC3)=1,JC3,"")</f>
        <v/>
      </c>
      <c r="JD2" s="30" t="str">
        <f aca="false">IF(DAY(JD3)=1,JD3,"")</f>
        <v/>
      </c>
      <c r="JE2" s="30" t="str">
        <f aca="false">IF(DAY(JE3)=1,JE3,"")</f>
        <v/>
      </c>
      <c r="JF2" s="30" t="str">
        <f aca="false">IF(DAY(JF3)=1,JF3,"")</f>
        <v/>
      </c>
      <c r="JG2" s="30" t="str">
        <f aca="false">IF(DAY(JG3)=1,JG3,"")</f>
        <v/>
      </c>
      <c r="JH2" s="30" t="str">
        <f aca="false">IF(DAY(JH3)=1,JH3,"")</f>
        <v/>
      </c>
      <c r="JI2" s="30" t="str">
        <f aca="false">IF(DAY(JI3)=1,JI3,"")</f>
        <v/>
      </c>
      <c r="JJ2" s="30" t="str">
        <f aca="false">IF(DAY(JJ3)=1,JJ3,"")</f>
        <v/>
      </c>
      <c r="JK2" s="30" t="str">
        <f aca="false">IF(DAY(JK3)=1,JK3,"")</f>
        <v/>
      </c>
      <c r="JL2" s="30" t="str">
        <f aca="false">IF(DAY(JL3)=1,JL3,"")</f>
        <v/>
      </c>
      <c r="JM2" s="30" t="str">
        <f aca="false">IF(DAY(JM3)=1,JM3,"")</f>
        <v/>
      </c>
      <c r="JN2" s="30" t="str">
        <f aca="false">IF(DAY(JN3)=1,JN3,"")</f>
        <v/>
      </c>
      <c r="JO2" s="30" t="n">
        <f aca="false">IF(DAY(JO3)=1,JO3,"")</f>
        <v>46569</v>
      </c>
      <c r="JP2" s="30" t="str">
        <f aca="false">IF(DAY(JP3)=1,JP3,"")</f>
        <v/>
      </c>
      <c r="JQ2" s="30" t="str">
        <f aca="false">IF(DAY(JQ3)=1,JQ3,"")</f>
        <v/>
      </c>
      <c r="JR2" s="30" t="str">
        <f aca="false">IF(DAY(JR3)=1,JR3,"")</f>
        <v/>
      </c>
      <c r="JS2" s="30" t="str">
        <f aca="false">IF(DAY(JS3)=1,JS3,"")</f>
        <v/>
      </c>
      <c r="JT2" s="30" t="str">
        <f aca="false">IF(DAY(JT3)=1,JT3,"")</f>
        <v/>
      </c>
      <c r="JU2" s="30" t="str">
        <f aca="false">IF(DAY(JU3)=1,JU3,"")</f>
        <v/>
      </c>
      <c r="JV2" s="30" t="str">
        <f aca="false">IF(DAY(JV3)=1,JV3,"")</f>
        <v/>
      </c>
      <c r="JW2" s="30" t="str">
        <f aca="false">IF(DAY(JW3)=1,JW3,"")</f>
        <v/>
      </c>
      <c r="JX2" s="30" t="str">
        <f aca="false">IF(DAY(JX3)=1,JX3,"")</f>
        <v/>
      </c>
      <c r="JY2" s="30" t="str">
        <f aca="false">IF(DAY(JY3)=1,JY3,"")</f>
        <v/>
      </c>
      <c r="JZ2" s="30" t="str">
        <f aca="false">IF(DAY(JZ3)=1,JZ3,"")</f>
        <v/>
      </c>
      <c r="KA2" s="30" t="str">
        <f aca="false">IF(DAY(KA3)=1,KA3,"")</f>
        <v/>
      </c>
      <c r="KB2" s="30" t="str">
        <f aca="false">IF(DAY(KB3)=1,KB3,"")</f>
        <v/>
      </c>
      <c r="KC2" s="30" t="str">
        <f aca="false">IF(DAY(KC3)=1,KC3,"")</f>
        <v/>
      </c>
      <c r="KD2" s="30" t="str">
        <f aca="false">IF(DAY(KD3)=1,KD3,"")</f>
        <v/>
      </c>
      <c r="KE2" s="30" t="str">
        <f aca="false">IF(DAY(KE3)=1,KE3,"")</f>
        <v/>
      </c>
      <c r="KF2" s="30" t="str">
        <f aca="false">IF(DAY(KF3)=1,KF3,"")</f>
        <v/>
      </c>
      <c r="KG2" s="30" t="str">
        <f aca="false">IF(DAY(KG3)=1,KG3,"")</f>
        <v/>
      </c>
      <c r="KH2" s="30" t="str">
        <f aca="false">IF(DAY(KH3)=1,KH3,"")</f>
        <v/>
      </c>
      <c r="KI2" s="30" t="str">
        <f aca="false">IF(DAY(KI3)=1,KI3,"")</f>
        <v/>
      </c>
      <c r="KJ2" s="30" t="str">
        <f aca="false">IF(DAY(KJ3)=1,KJ3,"")</f>
        <v/>
      </c>
      <c r="KK2" s="30" t="str">
        <f aca="false">IF(DAY(KK3)=1,KK3,"")</f>
        <v/>
      </c>
      <c r="KL2" s="30" t="str">
        <f aca="false">IF(DAY(KL3)=1,KL3,"")</f>
        <v/>
      </c>
      <c r="KM2" s="30" t="str">
        <f aca="false">IF(DAY(KM3)=1,KM3,"")</f>
        <v/>
      </c>
      <c r="KN2" s="30" t="str">
        <f aca="false">IF(DAY(KN3)=1,KN3,"")</f>
        <v/>
      </c>
      <c r="KO2" s="30" t="str">
        <f aca="false">IF(DAY(KO3)=1,KO3,"")</f>
        <v/>
      </c>
      <c r="KP2" s="30" t="str">
        <f aca="false">IF(DAY(KP3)=1,KP3,"")</f>
        <v/>
      </c>
      <c r="KQ2" s="30" t="str">
        <f aca="false">IF(DAY(KQ3)=1,KQ3,"")</f>
        <v/>
      </c>
      <c r="KR2" s="30" t="str">
        <f aca="false">IF(DAY(KR3)=1,KR3,"")</f>
        <v/>
      </c>
      <c r="KS2" s="30" t="str">
        <f aca="false">IF(DAY(KS3)=1,KS3,"")</f>
        <v/>
      </c>
      <c r="KT2" s="30" t="n">
        <f aca="false">IF(DAY(KT3)=1,KT3,"")</f>
        <v>46600</v>
      </c>
      <c r="KU2" s="30" t="str">
        <f aca="false">IF(DAY(KU3)=1,KU3,"")</f>
        <v/>
      </c>
      <c r="KV2" s="30" t="str">
        <f aca="false">IF(DAY(KV3)=1,KV3,"")</f>
        <v/>
      </c>
      <c r="KW2" s="30" t="str">
        <f aca="false">IF(DAY(KW3)=1,KW3,"")</f>
        <v/>
      </c>
      <c r="KX2" s="30" t="str">
        <f aca="false">IF(DAY(KX3)=1,KX3,"")</f>
        <v/>
      </c>
      <c r="KY2" s="30" t="str">
        <f aca="false">IF(DAY(KY3)=1,KY3,"")</f>
        <v/>
      </c>
      <c r="KZ2" s="30" t="str">
        <f aca="false">IF(DAY(KZ3)=1,KZ3,"")</f>
        <v/>
      </c>
    </row>
    <row r="3" customFormat="false" ht="39.75" hidden="false" customHeight="true" outlineLevel="0" collapsed="false">
      <c r="A3" s="8" t="s">
        <v>342</v>
      </c>
      <c r="B3" s="8" t="s">
        <v>343</v>
      </c>
      <c r="C3" s="8" t="s">
        <v>492</v>
      </c>
      <c r="D3" s="8" t="s">
        <v>493</v>
      </c>
      <c r="E3" s="8" t="s">
        <v>345</v>
      </c>
      <c r="F3" s="31" t="n">
        <f aca="false">$F$2+0</f>
        <v>46300</v>
      </c>
      <c r="G3" s="31" t="n">
        <f aca="false">$F$2+1</f>
        <v>46301</v>
      </c>
      <c r="H3" s="31" t="n">
        <f aca="false">$F$2+2</f>
        <v>46302</v>
      </c>
      <c r="I3" s="31" t="n">
        <f aca="false">$F$2+3</f>
        <v>46303</v>
      </c>
      <c r="J3" s="31" t="n">
        <f aca="false">$F$2+4</f>
        <v>46304</v>
      </c>
      <c r="K3" s="31" t="n">
        <f aca="false">$F$2+5</f>
        <v>46305</v>
      </c>
      <c r="L3" s="31" t="n">
        <f aca="false">$F$2+6</f>
        <v>46306</v>
      </c>
      <c r="M3" s="31" t="n">
        <f aca="false">$F$2+7</f>
        <v>46307</v>
      </c>
      <c r="N3" s="31" t="n">
        <f aca="false">$F$2+8</f>
        <v>46308</v>
      </c>
      <c r="O3" s="31" t="n">
        <f aca="false">$F$2+9</f>
        <v>46309</v>
      </c>
      <c r="P3" s="31" t="n">
        <f aca="false">$F$2+10</f>
        <v>46310</v>
      </c>
      <c r="Q3" s="31" t="n">
        <f aca="false">$F$2+11</f>
        <v>46311</v>
      </c>
      <c r="R3" s="31" t="n">
        <f aca="false">$F$2+12</f>
        <v>46312</v>
      </c>
      <c r="S3" s="31" t="n">
        <f aca="false">$F$2+13</f>
        <v>46313</v>
      </c>
      <c r="T3" s="31" t="n">
        <f aca="false">$F$2+14</f>
        <v>46314</v>
      </c>
      <c r="U3" s="31" t="n">
        <f aca="false">$F$2+15</f>
        <v>46315</v>
      </c>
      <c r="V3" s="31" t="n">
        <f aca="false">$F$2+16</f>
        <v>46316</v>
      </c>
      <c r="W3" s="31" t="n">
        <f aca="false">$F$2+17</f>
        <v>46317</v>
      </c>
      <c r="X3" s="31" t="n">
        <f aca="false">$F$2+18</f>
        <v>46318</v>
      </c>
      <c r="Y3" s="31" t="n">
        <f aca="false">$F$2+19</f>
        <v>46319</v>
      </c>
      <c r="Z3" s="31" t="n">
        <f aca="false">$F$2+20</f>
        <v>46320</v>
      </c>
      <c r="AA3" s="31" t="n">
        <f aca="false">$F$2+21</f>
        <v>46321</v>
      </c>
      <c r="AB3" s="31" t="n">
        <f aca="false">$F$2+22</f>
        <v>46322</v>
      </c>
      <c r="AC3" s="31" t="n">
        <f aca="false">$F$2+23</f>
        <v>46323</v>
      </c>
      <c r="AD3" s="31" t="n">
        <f aca="false">$F$2+24</f>
        <v>46324</v>
      </c>
      <c r="AE3" s="31" t="n">
        <f aca="false">$F$2+25</f>
        <v>46325</v>
      </c>
      <c r="AF3" s="31" t="n">
        <f aca="false">$F$2+26</f>
        <v>46326</v>
      </c>
      <c r="AG3" s="31" t="n">
        <f aca="false">$F$2+27</f>
        <v>46327</v>
      </c>
      <c r="AH3" s="31" t="n">
        <f aca="false">$F$2+28</f>
        <v>46328</v>
      </c>
      <c r="AI3" s="31" t="n">
        <f aca="false">$F$2+29</f>
        <v>46329</v>
      </c>
      <c r="AJ3" s="31" t="n">
        <f aca="false">$F$2+30</f>
        <v>46330</v>
      </c>
      <c r="AK3" s="31" t="n">
        <f aca="false">$F$2+31</f>
        <v>46331</v>
      </c>
      <c r="AL3" s="31" t="n">
        <f aca="false">$F$2+32</f>
        <v>46332</v>
      </c>
      <c r="AM3" s="31" t="n">
        <f aca="false">$F$2+33</f>
        <v>46333</v>
      </c>
      <c r="AN3" s="31" t="n">
        <f aca="false">$F$2+34</f>
        <v>46334</v>
      </c>
      <c r="AO3" s="31" t="n">
        <f aca="false">$F$2+35</f>
        <v>46335</v>
      </c>
      <c r="AP3" s="31" t="n">
        <f aca="false">$F$2+36</f>
        <v>46336</v>
      </c>
      <c r="AQ3" s="31" t="n">
        <f aca="false">$F$2+37</f>
        <v>46337</v>
      </c>
      <c r="AR3" s="31" t="n">
        <f aca="false">$F$2+38</f>
        <v>46338</v>
      </c>
      <c r="AS3" s="31" t="n">
        <f aca="false">$F$2+39</f>
        <v>46339</v>
      </c>
      <c r="AT3" s="31" t="n">
        <f aca="false">$F$2+40</f>
        <v>46340</v>
      </c>
      <c r="AU3" s="31" t="n">
        <f aca="false">$F$2+41</f>
        <v>46341</v>
      </c>
      <c r="AV3" s="31" t="n">
        <f aca="false">$F$2+42</f>
        <v>46342</v>
      </c>
      <c r="AW3" s="31" t="n">
        <f aca="false">$F$2+43</f>
        <v>46343</v>
      </c>
      <c r="AX3" s="31" t="n">
        <f aca="false">$F$2+44</f>
        <v>46344</v>
      </c>
      <c r="AY3" s="31" t="n">
        <f aca="false">$F$2+45</f>
        <v>46345</v>
      </c>
      <c r="AZ3" s="31" t="n">
        <f aca="false">$F$2+46</f>
        <v>46346</v>
      </c>
      <c r="BA3" s="31" t="n">
        <f aca="false">$F$2+47</f>
        <v>46347</v>
      </c>
      <c r="BB3" s="31" t="n">
        <f aca="false">$F$2+48</f>
        <v>46348</v>
      </c>
      <c r="BC3" s="31" t="n">
        <f aca="false">$F$2+49</f>
        <v>46349</v>
      </c>
      <c r="BD3" s="31" t="n">
        <f aca="false">$F$2+50</f>
        <v>46350</v>
      </c>
      <c r="BE3" s="31" t="n">
        <f aca="false">$F$2+51</f>
        <v>46351</v>
      </c>
      <c r="BF3" s="31" t="n">
        <f aca="false">$F$2+52</f>
        <v>46352</v>
      </c>
      <c r="BG3" s="31" t="n">
        <f aca="false">$F$2+53</f>
        <v>46353</v>
      </c>
      <c r="BH3" s="31" t="n">
        <f aca="false">$F$2+54</f>
        <v>46354</v>
      </c>
      <c r="BI3" s="31" t="n">
        <f aca="false">$F$2+55</f>
        <v>46355</v>
      </c>
      <c r="BJ3" s="31" t="n">
        <f aca="false">$F$2+56</f>
        <v>46356</v>
      </c>
      <c r="BK3" s="31" t="n">
        <f aca="false">$F$2+57</f>
        <v>46357</v>
      </c>
      <c r="BL3" s="31" t="n">
        <f aca="false">$F$2+58</f>
        <v>46358</v>
      </c>
      <c r="BM3" s="31" t="n">
        <f aca="false">$F$2+59</f>
        <v>46359</v>
      </c>
      <c r="BN3" s="31" t="n">
        <f aca="false">$F$2+60</f>
        <v>46360</v>
      </c>
      <c r="BO3" s="31" t="n">
        <f aca="false">$F$2+61</f>
        <v>46361</v>
      </c>
      <c r="BP3" s="31" t="n">
        <f aca="false">$F$2+62</f>
        <v>46362</v>
      </c>
      <c r="BQ3" s="31" t="n">
        <f aca="false">$F$2+63</f>
        <v>46363</v>
      </c>
      <c r="BR3" s="31" t="n">
        <f aca="false">$F$2+64</f>
        <v>46364</v>
      </c>
      <c r="BS3" s="31" t="n">
        <f aca="false">$F$2+65</f>
        <v>46365</v>
      </c>
      <c r="BT3" s="31" t="n">
        <f aca="false">$F$2+66</f>
        <v>46366</v>
      </c>
      <c r="BU3" s="31" t="n">
        <f aca="false">$F$2+67</f>
        <v>46367</v>
      </c>
      <c r="BV3" s="31" t="n">
        <f aca="false">$F$2+68</f>
        <v>46368</v>
      </c>
      <c r="BW3" s="31" t="n">
        <f aca="false">$F$2+69</f>
        <v>46369</v>
      </c>
      <c r="BX3" s="31" t="n">
        <f aca="false">$F$2+70</f>
        <v>46370</v>
      </c>
      <c r="BY3" s="31" t="n">
        <f aca="false">$F$2+71</f>
        <v>46371</v>
      </c>
      <c r="BZ3" s="31" t="n">
        <f aca="false">$F$2+72</f>
        <v>46372</v>
      </c>
      <c r="CA3" s="31" t="n">
        <f aca="false">$F$2+73</f>
        <v>46373</v>
      </c>
      <c r="CB3" s="31" t="n">
        <f aca="false">$F$2+74</f>
        <v>46374</v>
      </c>
      <c r="CC3" s="31" t="n">
        <f aca="false">$F$2+75</f>
        <v>46375</v>
      </c>
      <c r="CD3" s="31" t="n">
        <f aca="false">$F$2+76</f>
        <v>46376</v>
      </c>
      <c r="CE3" s="31" t="n">
        <f aca="false">$F$2+77</f>
        <v>46377</v>
      </c>
      <c r="CF3" s="31" t="n">
        <f aca="false">$F$2+78</f>
        <v>46378</v>
      </c>
      <c r="CG3" s="31" t="n">
        <f aca="false">$F$2+79</f>
        <v>46379</v>
      </c>
      <c r="CH3" s="31" t="n">
        <f aca="false">$F$2+80</f>
        <v>46380</v>
      </c>
      <c r="CI3" s="31" t="n">
        <f aca="false">$F$2+81</f>
        <v>46381</v>
      </c>
      <c r="CJ3" s="31" t="n">
        <f aca="false">$F$2+82</f>
        <v>46382</v>
      </c>
      <c r="CK3" s="31" t="n">
        <f aca="false">$F$2+83</f>
        <v>46383</v>
      </c>
      <c r="CL3" s="31" t="n">
        <f aca="false">$F$2+84</f>
        <v>46384</v>
      </c>
      <c r="CM3" s="31" t="n">
        <f aca="false">$F$2+85</f>
        <v>46385</v>
      </c>
      <c r="CN3" s="31" t="n">
        <f aca="false">$F$2+86</f>
        <v>46386</v>
      </c>
      <c r="CO3" s="31" t="n">
        <f aca="false">$F$2+87</f>
        <v>46387</v>
      </c>
      <c r="CP3" s="31" t="n">
        <f aca="false">$F$2+88</f>
        <v>46388</v>
      </c>
      <c r="CQ3" s="31" t="n">
        <f aca="false">$F$2+89</f>
        <v>46389</v>
      </c>
      <c r="CR3" s="31" t="n">
        <f aca="false">$F$2+90</f>
        <v>46390</v>
      </c>
      <c r="CS3" s="31" t="n">
        <f aca="false">$F$2+91</f>
        <v>46391</v>
      </c>
      <c r="CT3" s="31" t="n">
        <f aca="false">$F$2+92</f>
        <v>46392</v>
      </c>
      <c r="CU3" s="31" t="n">
        <f aca="false">$F$2+93</f>
        <v>46393</v>
      </c>
      <c r="CV3" s="31" t="n">
        <f aca="false">$F$2+94</f>
        <v>46394</v>
      </c>
      <c r="CW3" s="31" t="n">
        <f aca="false">$F$2+95</f>
        <v>46395</v>
      </c>
      <c r="CX3" s="31" t="n">
        <f aca="false">$F$2+96</f>
        <v>46396</v>
      </c>
      <c r="CY3" s="31" t="n">
        <f aca="false">$F$2+97</f>
        <v>46397</v>
      </c>
      <c r="CZ3" s="31" t="n">
        <f aca="false">$F$2+98</f>
        <v>46398</v>
      </c>
      <c r="DA3" s="31" t="n">
        <f aca="false">$F$2+99</f>
        <v>46399</v>
      </c>
      <c r="DB3" s="31" t="n">
        <f aca="false">$F$2+100</f>
        <v>46400</v>
      </c>
      <c r="DC3" s="31" t="n">
        <f aca="false">$F$2+101</f>
        <v>46401</v>
      </c>
      <c r="DD3" s="31" t="n">
        <f aca="false">$F$2+102</f>
        <v>46402</v>
      </c>
      <c r="DE3" s="31" t="n">
        <f aca="false">$F$2+103</f>
        <v>46403</v>
      </c>
      <c r="DF3" s="31" t="n">
        <f aca="false">$F$2+104</f>
        <v>46404</v>
      </c>
      <c r="DG3" s="31" t="n">
        <f aca="false">$F$2+105</f>
        <v>46405</v>
      </c>
      <c r="DH3" s="31" t="n">
        <f aca="false">$F$2+106</f>
        <v>46406</v>
      </c>
      <c r="DI3" s="31" t="n">
        <f aca="false">$F$2+107</f>
        <v>46407</v>
      </c>
      <c r="DJ3" s="31" t="n">
        <f aca="false">$F$2+108</f>
        <v>46408</v>
      </c>
      <c r="DK3" s="31" t="n">
        <f aca="false">$F$2+109</f>
        <v>46409</v>
      </c>
      <c r="DL3" s="31" t="n">
        <f aca="false">$F$2+110</f>
        <v>46410</v>
      </c>
      <c r="DM3" s="31" t="n">
        <f aca="false">$F$2+111</f>
        <v>46411</v>
      </c>
      <c r="DN3" s="31" t="n">
        <f aca="false">$F$2+112</f>
        <v>46412</v>
      </c>
      <c r="DO3" s="31" t="n">
        <f aca="false">$F$2+113</f>
        <v>46413</v>
      </c>
      <c r="DP3" s="31" t="n">
        <f aca="false">$F$2+114</f>
        <v>46414</v>
      </c>
      <c r="DQ3" s="31" t="n">
        <f aca="false">$F$2+115</f>
        <v>46415</v>
      </c>
      <c r="DR3" s="31" t="n">
        <f aca="false">$F$2+116</f>
        <v>46416</v>
      </c>
      <c r="DS3" s="31" t="n">
        <f aca="false">$F$2+117</f>
        <v>46417</v>
      </c>
      <c r="DT3" s="31" t="n">
        <f aca="false">$F$2+118</f>
        <v>46418</v>
      </c>
      <c r="DU3" s="31" t="n">
        <f aca="false">$F$2+119</f>
        <v>46419</v>
      </c>
      <c r="DV3" s="31" t="n">
        <f aca="false">$F$2+120</f>
        <v>46420</v>
      </c>
      <c r="DW3" s="31" t="n">
        <f aca="false">$F$2+121</f>
        <v>46421</v>
      </c>
      <c r="DX3" s="31" t="n">
        <f aca="false">$F$2+122</f>
        <v>46422</v>
      </c>
      <c r="DY3" s="31" t="n">
        <f aca="false">$F$2+123</f>
        <v>46423</v>
      </c>
      <c r="DZ3" s="31" t="n">
        <f aca="false">$F$2+124</f>
        <v>46424</v>
      </c>
      <c r="EA3" s="31" t="n">
        <f aca="false">$F$2+125</f>
        <v>46425</v>
      </c>
      <c r="EB3" s="31" t="n">
        <f aca="false">$F$2+126</f>
        <v>46426</v>
      </c>
      <c r="EC3" s="31" t="n">
        <f aca="false">$F$2+127</f>
        <v>46427</v>
      </c>
      <c r="ED3" s="31" t="n">
        <f aca="false">$F$2+128</f>
        <v>46428</v>
      </c>
      <c r="EE3" s="31" t="n">
        <f aca="false">$F$2+129</f>
        <v>46429</v>
      </c>
      <c r="EF3" s="31" t="n">
        <f aca="false">$F$2+130</f>
        <v>46430</v>
      </c>
      <c r="EG3" s="31" t="n">
        <f aca="false">$F$2+131</f>
        <v>46431</v>
      </c>
      <c r="EH3" s="31" t="n">
        <f aca="false">$F$2+132</f>
        <v>46432</v>
      </c>
      <c r="EI3" s="31" t="n">
        <f aca="false">$F$2+133</f>
        <v>46433</v>
      </c>
      <c r="EJ3" s="31" t="n">
        <f aca="false">$F$2+134</f>
        <v>46434</v>
      </c>
      <c r="EK3" s="31" t="n">
        <f aca="false">$F$2+135</f>
        <v>46435</v>
      </c>
      <c r="EL3" s="31" t="n">
        <f aca="false">$F$2+136</f>
        <v>46436</v>
      </c>
      <c r="EM3" s="31" t="n">
        <f aca="false">$F$2+137</f>
        <v>46437</v>
      </c>
      <c r="EN3" s="31" t="n">
        <f aca="false">$F$2+138</f>
        <v>46438</v>
      </c>
      <c r="EO3" s="31" t="n">
        <f aca="false">$F$2+139</f>
        <v>46439</v>
      </c>
      <c r="EP3" s="31" t="n">
        <f aca="false">$F$2+140</f>
        <v>46440</v>
      </c>
      <c r="EQ3" s="31" t="n">
        <f aca="false">$F$2+141</f>
        <v>46441</v>
      </c>
      <c r="ER3" s="31" t="n">
        <f aca="false">$F$2+142</f>
        <v>46442</v>
      </c>
      <c r="ES3" s="31" t="n">
        <f aca="false">$F$2+143</f>
        <v>46443</v>
      </c>
      <c r="ET3" s="31" t="n">
        <f aca="false">$F$2+144</f>
        <v>46444</v>
      </c>
      <c r="EU3" s="31" t="n">
        <f aca="false">$F$2+145</f>
        <v>46445</v>
      </c>
      <c r="EV3" s="31" t="n">
        <f aca="false">$F$2+146</f>
        <v>46446</v>
      </c>
      <c r="EW3" s="31" t="n">
        <f aca="false">$F$2+147</f>
        <v>46447</v>
      </c>
      <c r="EX3" s="31" t="n">
        <f aca="false">$F$2+148</f>
        <v>46448</v>
      </c>
      <c r="EY3" s="31" t="n">
        <f aca="false">$F$2+149</f>
        <v>46449</v>
      </c>
      <c r="EZ3" s="31" t="n">
        <f aca="false">$F$2+150</f>
        <v>46450</v>
      </c>
      <c r="FA3" s="31" t="n">
        <f aca="false">$F$2+151</f>
        <v>46451</v>
      </c>
      <c r="FB3" s="31" t="n">
        <f aca="false">$F$2+152</f>
        <v>46452</v>
      </c>
      <c r="FC3" s="31" t="n">
        <f aca="false">$F$2+153</f>
        <v>46453</v>
      </c>
      <c r="FD3" s="31" t="n">
        <f aca="false">$F$2+154</f>
        <v>46454</v>
      </c>
      <c r="FE3" s="31" t="n">
        <f aca="false">$F$2+155</f>
        <v>46455</v>
      </c>
      <c r="FF3" s="31" t="n">
        <f aca="false">$F$2+156</f>
        <v>46456</v>
      </c>
      <c r="FG3" s="31" t="n">
        <f aca="false">$F$2+157</f>
        <v>46457</v>
      </c>
      <c r="FH3" s="31" t="n">
        <f aca="false">$F$2+158</f>
        <v>46458</v>
      </c>
      <c r="FI3" s="31" t="n">
        <f aca="false">$F$2+159</f>
        <v>46459</v>
      </c>
      <c r="FJ3" s="31" t="n">
        <f aca="false">$F$2+160</f>
        <v>46460</v>
      </c>
      <c r="FK3" s="31" t="n">
        <f aca="false">$F$2+161</f>
        <v>46461</v>
      </c>
      <c r="FL3" s="31" t="n">
        <f aca="false">$F$2+162</f>
        <v>46462</v>
      </c>
      <c r="FM3" s="31" t="n">
        <f aca="false">$F$2+163</f>
        <v>46463</v>
      </c>
      <c r="FN3" s="31" t="n">
        <f aca="false">$F$2+164</f>
        <v>46464</v>
      </c>
      <c r="FO3" s="31" t="n">
        <f aca="false">$F$2+165</f>
        <v>46465</v>
      </c>
      <c r="FP3" s="31" t="n">
        <f aca="false">$F$2+166</f>
        <v>46466</v>
      </c>
      <c r="FQ3" s="31" t="n">
        <f aca="false">$F$2+167</f>
        <v>46467</v>
      </c>
      <c r="FR3" s="31" t="n">
        <f aca="false">$F$2+168</f>
        <v>46468</v>
      </c>
      <c r="FS3" s="31" t="n">
        <f aca="false">$F$2+169</f>
        <v>46469</v>
      </c>
      <c r="FT3" s="31" t="n">
        <f aca="false">$F$2+170</f>
        <v>46470</v>
      </c>
      <c r="FU3" s="31" t="n">
        <f aca="false">$F$2+171</f>
        <v>46471</v>
      </c>
      <c r="FV3" s="31" t="n">
        <f aca="false">$F$2+172</f>
        <v>46472</v>
      </c>
      <c r="FW3" s="31" t="n">
        <f aca="false">$F$2+173</f>
        <v>46473</v>
      </c>
      <c r="FX3" s="31" t="n">
        <f aca="false">$F$2+174</f>
        <v>46474</v>
      </c>
      <c r="FY3" s="31" t="n">
        <f aca="false">$F$2+175</f>
        <v>46475</v>
      </c>
      <c r="FZ3" s="31" t="n">
        <f aca="false">$F$2+176</f>
        <v>46476</v>
      </c>
      <c r="GA3" s="31" t="n">
        <f aca="false">$F$2+177</f>
        <v>46477</v>
      </c>
      <c r="GB3" s="31" t="n">
        <f aca="false">$F$2+178</f>
        <v>46478</v>
      </c>
      <c r="GC3" s="31" t="n">
        <f aca="false">$F$2+179</f>
        <v>46479</v>
      </c>
      <c r="GD3" s="31" t="n">
        <f aca="false">$F$2+180</f>
        <v>46480</v>
      </c>
      <c r="GE3" s="31" t="n">
        <f aca="false">$F$2+181</f>
        <v>46481</v>
      </c>
      <c r="GF3" s="31" t="n">
        <f aca="false">$F$2+182</f>
        <v>46482</v>
      </c>
      <c r="GG3" s="31" t="n">
        <f aca="false">$F$2+183</f>
        <v>46483</v>
      </c>
      <c r="GH3" s="31" t="n">
        <f aca="false">$F$2+184</f>
        <v>46484</v>
      </c>
      <c r="GI3" s="31" t="n">
        <f aca="false">$F$2+185</f>
        <v>46485</v>
      </c>
      <c r="GJ3" s="31" t="n">
        <f aca="false">$F$2+186</f>
        <v>46486</v>
      </c>
      <c r="GK3" s="31" t="n">
        <f aca="false">$F$2+187</f>
        <v>46487</v>
      </c>
      <c r="GL3" s="31" t="n">
        <f aca="false">$F$2+188</f>
        <v>46488</v>
      </c>
      <c r="GM3" s="31" t="n">
        <f aca="false">$F$2+189</f>
        <v>46489</v>
      </c>
      <c r="GN3" s="31" t="n">
        <f aca="false">$F$2+190</f>
        <v>46490</v>
      </c>
      <c r="GO3" s="31" t="n">
        <f aca="false">$F$2+191</f>
        <v>46491</v>
      </c>
      <c r="GP3" s="31" t="n">
        <f aca="false">$F$2+192</f>
        <v>46492</v>
      </c>
      <c r="GQ3" s="31" t="n">
        <f aca="false">$F$2+193</f>
        <v>46493</v>
      </c>
      <c r="GR3" s="31" t="n">
        <f aca="false">$F$2+194</f>
        <v>46494</v>
      </c>
      <c r="GS3" s="31" t="n">
        <f aca="false">$F$2+195</f>
        <v>46495</v>
      </c>
      <c r="GT3" s="31" t="n">
        <f aca="false">$F$2+196</f>
        <v>46496</v>
      </c>
      <c r="GU3" s="31" t="n">
        <f aca="false">$F$2+197</f>
        <v>46497</v>
      </c>
      <c r="GV3" s="31" t="n">
        <f aca="false">$F$2+198</f>
        <v>46498</v>
      </c>
      <c r="GW3" s="31" t="n">
        <f aca="false">$F$2+199</f>
        <v>46499</v>
      </c>
      <c r="GX3" s="31" t="n">
        <f aca="false">$F$2+200</f>
        <v>46500</v>
      </c>
      <c r="GY3" s="31" t="n">
        <f aca="false">$F$2+201</f>
        <v>46501</v>
      </c>
      <c r="GZ3" s="31" t="n">
        <f aca="false">$F$2+202</f>
        <v>46502</v>
      </c>
      <c r="HA3" s="31" t="n">
        <f aca="false">$F$2+203</f>
        <v>46503</v>
      </c>
      <c r="HB3" s="31" t="n">
        <f aca="false">$F$2+204</f>
        <v>46504</v>
      </c>
      <c r="HC3" s="31" t="n">
        <f aca="false">$F$2+205</f>
        <v>46505</v>
      </c>
      <c r="HD3" s="31" t="n">
        <f aca="false">$F$2+206</f>
        <v>46506</v>
      </c>
      <c r="HE3" s="31" t="n">
        <f aca="false">$F$2+207</f>
        <v>46507</v>
      </c>
      <c r="HF3" s="31" t="n">
        <f aca="false">$F$2+208</f>
        <v>46508</v>
      </c>
      <c r="HG3" s="31" t="n">
        <f aca="false">$F$2+209</f>
        <v>46509</v>
      </c>
      <c r="HH3" s="31" t="n">
        <f aca="false">$F$2+210</f>
        <v>46510</v>
      </c>
      <c r="HI3" s="31" t="n">
        <f aca="false">$F$2+211</f>
        <v>46511</v>
      </c>
      <c r="HJ3" s="31" t="n">
        <f aca="false">$F$2+212</f>
        <v>46512</v>
      </c>
      <c r="HK3" s="31" t="n">
        <f aca="false">$F$2+213</f>
        <v>46513</v>
      </c>
      <c r="HL3" s="31" t="n">
        <f aca="false">$F$2+214</f>
        <v>46514</v>
      </c>
      <c r="HM3" s="31" t="n">
        <f aca="false">$F$2+215</f>
        <v>46515</v>
      </c>
      <c r="HN3" s="31" t="n">
        <f aca="false">$F$2+216</f>
        <v>46516</v>
      </c>
      <c r="HO3" s="31" t="n">
        <f aca="false">$F$2+217</f>
        <v>46517</v>
      </c>
      <c r="HP3" s="31" t="n">
        <f aca="false">$F$2+218</f>
        <v>46518</v>
      </c>
      <c r="HQ3" s="31" t="n">
        <f aca="false">$F$2+219</f>
        <v>46519</v>
      </c>
      <c r="HR3" s="31" t="n">
        <f aca="false">$F$2+220</f>
        <v>46520</v>
      </c>
      <c r="HS3" s="31" t="n">
        <f aca="false">$F$2+221</f>
        <v>46521</v>
      </c>
      <c r="HT3" s="31" t="n">
        <f aca="false">$F$2+222</f>
        <v>46522</v>
      </c>
      <c r="HU3" s="31" t="n">
        <f aca="false">$F$2+223</f>
        <v>46523</v>
      </c>
      <c r="HV3" s="31" t="n">
        <f aca="false">$F$2+224</f>
        <v>46524</v>
      </c>
      <c r="HW3" s="31" t="n">
        <f aca="false">$F$2+225</f>
        <v>46525</v>
      </c>
      <c r="HX3" s="31" t="n">
        <f aca="false">$F$2+226</f>
        <v>46526</v>
      </c>
      <c r="HY3" s="31" t="n">
        <f aca="false">$F$2+227</f>
        <v>46527</v>
      </c>
      <c r="HZ3" s="31" t="n">
        <f aca="false">$F$2+228</f>
        <v>46528</v>
      </c>
      <c r="IA3" s="31" t="n">
        <f aca="false">$F$2+229</f>
        <v>46529</v>
      </c>
      <c r="IB3" s="31" t="n">
        <f aca="false">$F$2+230</f>
        <v>46530</v>
      </c>
      <c r="IC3" s="31" t="n">
        <f aca="false">$F$2+231</f>
        <v>46531</v>
      </c>
      <c r="ID3" s="31" t="n">
        <f aca="false">$F$2+232</f>
        <v>46532</v>
      </c>
      <c r="IE3" s="31" t="n">
        <f aca="false">$F$2+233</f>
        <v>46533</v>
      </c>
      <c r="IF3" s="31" t="n">
        <f aca="false">$F$2+234</f>
        <v>46534</v>
      </c>
      <c r="IG3" s="31" t="n">
        <f aca="false">$F$2+235</f>
        <v>46535</v>
      </c>
      <c r="IH3" s="31" t="n">
        <f aca="false">$F$2+236</f>
        <v>46536</v>
      </c>
      <c r="II3" s="31" t="n">
        <f aca="false">$F$2+237</f>
        <v>46537</v>
      </c>
      <c r="IJ3" s="31" t="n">
        <f aca="false">$F$2+238</f>
        <v>46538</v>
      </c>
      <c r="IK3" s="31" t="n">
        <f aca="false">$F$2+239</f>
        <v>46539</v>
      </c>
      <c r="IL3" s="31" t="n">
        <f aca="false">$F$2+240</f>
        <v>46540</v>
      </c>
      <c r="IM3" s="31" t="n">
        <f aca="false">$F$2+241</f>
        <v>46541</v>
      </c>
      <c r="IN3" s="31" t="n">
        <f aca="false">$F$2+242</f>
        <v>46542</v>
      </c>
      <c r="IO3" s="31" t="n">
        <f aca="false">$F$2+243</f>
        <v>46543</v>
      </c>
      <c r="IP3" s="31" t="n">
        <f aca="false">$F$2+244</f>
        <v>46544</v>
      </c>
      <c r="IQ3" s="31" t="n">
        <f aca="false">$F$2+245</f>
        <v>46545</v>
      </c>
      <c r="IR3" s="31" t="n">
        <f aca="false">$F$2+246</f>
        <v>46546</v>
      </c>
      <c r="IS3" s="31" t="n">
        <f aca="false">$F$2+247</f>
        <v>46547</v>
      </c>
      <c r="IT3" s="31" t="n">
        <f aca="false">$F$2+248</f>
        <v>46548</v>
      </c>
      <c r="IU3" s="31" t="n">
        <f aca="false">$F$2+249</f>
        <v>46549</v>
      </c>
      <c r="IV3" s="31" t="n">
        <f aca="false">$F$2+250</f>
        <v>46550</v>
      </c>
      <c r="IW3" s="31" t="n">
        <f aca="false">$F$2+251</f>
        <v>46551</v>
      </c>
      <c r="IX3" s="31" t="n">
        <f aca="false">$F$2+252</f>
        <v>46552</v>
      </c>
      <c r="IY3" s="31" t="n">
        <f aca="false">$F$2+253</f>
        <v>46553</v>
      </c>
      <c r="IZ3" s="31" t="n">
        <f aca="false">$F$2+254</f>
        <v>46554</v>
      </c>
      <c r="JA3" s="31" t="n">
        <f aca="false">$F$2+255</f>
        <v>46555</v>
      </c>
      <c r="JB3" s="31" t="n">
        <f aca="false">$F$2+256</f>
        <v>46556</v>
      </c>
      <c r="JC3" s="31" t="n">
        <f aca="false">$F$2+257</f>
        <v>46557</v>
      </c>
      <c r="JD3" s="31" t="n">
        <f aca="false">$F$2+258</f>
        <v>46558</v>
      </c>
      <c r="JE3" s="31" t="n">
        <f aca="false">$F$2+259</f>
        <v>46559</v>
      </c>
      <c r="JF3" s="31" t="n">
        <f aca="false">$F$2+260</f>
        <v>46560</v>
      </c>
      <c r="JG3" s="31" t="n">
        <f aca="false">$F$2+261</f>
        <v>46561</v>
      </c>
      <c r="JH3" s="31" t="n">
        <f aca="false">$F$2+262</f>
        <v>46562</v>
      </c>
      <c r="JI3" s="31" t="n">
        <f aca="false">$F$2+263</f>
        <v>46563</v>
      </c>
      <c r="JJ3" s="31" t="n">
        <f aca="false">$F$2+264</f>
        <v>46564</v>
      </c>
      <c r="JK3" s="31" t="n">
        <f aca="false">$F$2+265</f>
        <v>46565</v>
      </c>
      <c r="JL3" s="31" t="n">
        <f aca="false">$F$2+266</f>
        <v>46566</v>
      </c>
      <c r="JM3" s="31" t="n">
        <f aca="false">$F$2+267</f>
        <v>46567</v>
      </c>
      <c r="JN3" s="31" t="n">
        <f aca="false">$F$2+268</f>
        <v>46568</v>
      </c>
      <c r="JO3" s="31" t="n">
        <f aca="false">$F$2+269</f>
        <v>46569</v>
      </c>
      <c r="JP3" s="31" t="n">
        <f aca="false">$F$2+270</f>
        <v>46570</v>
      </c>
      <c r="JQ3" s="31" t="n">
        <f aca="false">$F$2+271</f>
        <v>46571</v>
      </c>
      <c r="JR3" s="31" t="n">
        <f aca="false">$F$2+272</f>
        <v>46572</v>
      </c>
      <c r="JS3" s="31" t="n">
        <f aca="false">$F$2+273</f>
        <v>46573</v>
      </c>
      <c r="JT3" s="31" t="n">
        <f aca="false">$F$2+274</f>
        <v>46574</v>
      </c>
      <c r="JU3" s="31" t="n">
        <f aca="false">$F$2+275</f>
        <v>46575</v>
      </c>
      <c r="JV3" s="31" t="n">
        <f aca="false">$F$2+276</f>
        <v>46576</v>
      </c>
      <c r="JW3" s="31" t="n">
        <f aca="false">$F$2+277</f>
        <v>46577</v>
      </c>
      <c r="JX3" s="31" t="n">
        <f aca="false">$F$2+278</f>
        <v>46578</v>
      </c>
      <c r="JY3" s="31" t="n">
        <f aca="false">$F$2+279</f>
        <v>46579</v>
      </c>
      <c r="JZ3" s="31" t="n">
        <f aca="false">$F$2+280</f>
        <v>46580</v>
      </c>
      <c r="KA3" s="31" t="n">
        <f aca="false">$F$2+281</f>
        <v>46581</v>
      </c>
      <c r="KB3" s="31" t="n">
        <f aca="false">$F$2+282</f>
        <v>46582</v>
      </c>
      <c r="KC3" s="31" t="n">
        <f aca="false">$F$2+283</f>
        <v>46583</v>
      </c>
      <c r="KD3" s="31" t="n">
        <f aca="false">$F$2+284</f>
        <v>46584</v>
      </c>
      <c r="KE3" s="31" t="n">
        <f aca="false">$F$2+285</f>
        <v>46585</v>
      </c>
      <c r="KF3" s="31" t="n">
        <f aca="false">$F$2+286</f>
        <v>46586</v>
      </c>
      <c r="KG3" s="31" t="n">
        <f aca="false">$F$2+287</f>
        <v>46587</v>
      </c>
      <c r="KH3" s="31" t="n">
        <f aca="false">$F$2+288</f>
        <v>46588</v>
      </c>
      <c r="KI3" s="31" t="n">
        <f aca="false">$F$2+289</f>
        <v>46589</v>
      </c>
      <c r="KJ3" s="31" t="n">
        <f aca="false">$F$2+290</f>
        <v>46590</v>
      </c>
      <c r="KK3" s="31" t="n">
        <f aca="false">$F$2+291</f>
        <v>46591</v>
      </c>
      <c r="KL3" s="31" t="n">
        <f aca="false">$F$2+292</f>
        <v>46592</v>
      </c>
      <c r="KM3" s="31" t="n">
        <f aca="false">$F$2+293</f>
        <v>46593</v>
      </c>
      <c r="KN3" s="31" t="n">
        <f aca="false">$F$2+294</f>
        <v>46594</v>
      </c>
      <c r="KO3" s="31" t="n">
        <f aca="false">$F$2+295</f>
        <v>46595</v>
      </c>
      <c r="KP3" s="31" t="n">
        <f aca="false">$F$2+296</f>
        <v>46596</v>
      </c>
      <c r="KQ3" s="31" t="n">
        <f aca="false">$F$2+297</f>
        <v>46597</v>
      </c>
      <c r="KR3" s="31" t="n">
        <f aca="false">$F$2+298</f>
        <v>46598</v>
      </c>
      <c r="KS3" s="31" t="n">
        <f aca="false">$F$2+299</f>
        <v>46599</v>
      </c>
      <c r="KT3" s="31" t="n">
        <f aca="false">$F$2+300</f>
        <v>46600</v>
      </c>
      <c r="KU3" s="31" t="n">
        <f aca="false">$F$2+301</f>
        <v>46601</v>
      </c>
      <c r="KV3" s="31" t="n">
        <f aca="false">$F$2+302</f>
        <v>46602</v>
      </c>
      <c r="KW3" s="31" t="n">
        <f aca="false">$F$2+303</f>
        <v>46603</v>
      </c>
      <c r="KX3" s="31" t="n">
        <f aca="false">$F$2+304</f>
        <v>46604</v>
      </c>
      <c r="KY3" s="31" t="n">
        <f aca="false">$F$2+305</f>
        <v>46605</v>
      </c>
      <c r="KZ3" s="31" t="n">
        <f aca="false">$F$2+306</f>
        <v>46606</v>
      </c>
    </row>
    <row r="4" customFormat="false" ht="15" hidden="false" customHeight="true" outlineLevel="0" collapsed="false">
      <c r="A4" s="32" t="str">
        <f aca="false">Cronograma!A4</f>
        <v>A01</v>
      </c>
      <c r="B4" s="33" t="str">
        <f aca="false">Cronograma!B4</f>
        <v>Constituir equipo y comité directivo, y realizar kick-off</v>
      </c>
      <c r="C4" s="34" t="n">
        <f aca="false">Cronograma!G4</f>
        <v>46300</v>
      </c>
      <c r="D4" s="34" t="n">
        <f aca="false">Cronograma!H4</f>
        <v>46303</v>
      </c>
      <c r="E4" s="32" t="str">
        <f aca="false">IF(Cronograma!I4="Sí","◆",IF(Cronograma!M4="Sí","RC",""))</f>
        <v>RC</v>
      </c>
    </row>
    <row r="5" customFormat="false" ht="15" hidden="false" customHeight="true" outlineLevel="0" collapsed="false">
      <c r="A5" s="32" t="str">
        <f aca="false">Cronograma!A5</f>
        <v>H01</v>
      </c>
      <c r="B5" s="33" t="str">
        <f aca="false">Cronograma!B5</f>
        <v>Hito: Kick-off realizado</v>
      </c>
      <c r="C5" s="34" t="n">
        <f aca="false">Cronograma!G5</f>
        <v>46303</v>
      </c>
      <c r="D5" s="34" t="n">
        <f aca="false">Cronograma!H5</f>
        <v>46303</v>
      </c>
      <c r="E5" s="32" t="str">
        <f aca="false">IF(Cronograma!I5="Sí","◆",IF(Cronograma!M5="Sí","RC",""))</f>
        <v>◆</v>
      </c>
    </row>
    <row r="6" customFormat="false" ht="15" hidden="false" customHeight="true" outlineLevel="0" collapsed="false">
      <c r="A6" s="35" t="str">
        <f aca="false">Cronograma!A6</f>
        <v>A02</v>
      </c>
      <c r="B6" s="36" t="str">
        <f aca="false">Cronograma!B6</f>
        <v>Elaborar y aprobar plan de dirección del proyecto</v>
      </c>
      <c r="C6" s="37" t="n">
        <f aca="false">Cronograma!G6</f>
        <v>46304</v>
      </c>
      <c r="D6" s="37" t="n">
        <f aca="false">Cronograma!H6</f>
        <v>46318</v>
      </c>
      <c r="E6" s="35" t="str">
        <f aca="false">IF(Cronograma!I6="Sí","◆",IF(Cronograma!M6="Sí","RC",""))</f>
        <v/>
      </c>
    </row>
    <row r="7" customFormat="false" ht="15" hidden="false" customHeight="true" outlineLevel="0" collapsed="false">
      <c r="A7" s="35" t="str">
        <f aca="false">Cronograma!A7</f>
        <v>A03</v>
      </c>
      <c r="B7" s="36" t="str">
        <f aca="false">Cronograma!B7</f>
        <v>Realizar seguimiento y control (comités quincenales, riesgos y cambios)</v>
      </c>
      <c r="C7" s="37" t="n">
        <f aca="false">Cronograma!G7</f>
        <v>46321</v>
      </c>
      <c r="D7" s="37" t="n">
        <f aca="false">Cronograma!H7</f>
        <v>46560</v>
      </c>
      <c r="E7" s="35" t="str">
        <f aca="false">IF(Cronograma!I7="Sí","◆",IF(Cronograma!M7="Sí","RC",""))</f>
        <v/>
      </c>
    </row>
    <row r="8" customFormat="false" ht="15" hidden="false" customHeight="true" outlineLevel="0" collapsed="false">
      <c r="A8" s="32" t="str">
        <f aca="false">Cronograma!A8</f>
        <v>A04</v>
      </c>
      <c r="B8" s="33" t="str">
        <f aca="false">Cronograma!B8</f>
        <v>Elaborar informe final, lecciones aprendidas y acta de cierre</v>
      </c>
      <c r="C8" s="34" t="n">
        <f aca="false">Cronograma!G8</f>
        <v>46575</v>
      </c>
      <c r="D8" s="34" t="n">
        <f aca="false">Cronograma!H8</f>
        <v>46580</v>
      </c>
      <c r="E8" s="32" t="str">
        <f aca="false">IF(Cronograma!I8="Sí","◆",IF(Cronograma!M8="Sí","RC",""))</f>
        <v>RC</v>
      </c>
    </row>
    <row r="9" customFormat="false" ht="15" hidden="false" customHeight="true" outlineLevel="0" collapsed="false">
      <c r="A9" s="32" t="str">
        <f aca="false">Cronograma!A9</f>
        <v>H10</v>
      </c>
      <c r="B9" s="33" t="str">
        <f aca="false">Cronograma!B9</f>
        <v>Hito: Cierre formal del proyecto</v>
      </c>
      <c r="C9" s="34" t="n">
        <f aca="false">Cronograma!G9</f>
        <v>46580</v>
      </c>
      <c r="D9" s="34" t="n">
        <f aca="false">Cronograma!H9</f>
        <v>46580</v>
      </c>
      <c r="E9" s="32" t="str">
        <f aca="false">IF(Cronograma!I9="Sí","◆",IF(Cronograma!M9="Sí","RC",""))</f>
        <v>◆</v>
      </c>
    </row>
    <row r="10" customFormat="false" ht="15" hidden="false" customHeight="true" outlineLevel="0" collapsed="false">
      <c r="A10" s="32" t="str">
        <f aca="false">Cronograma!A10</f>
        <v>A05</v>
      </c>
      <c r="B10" s="33" t="str">
        <f aca="false">Cronograma!B10</f>
        <v>Levantar procesos en las 3 obras piloto y en oficina central</v>
      </c>
      <c r="C10" s="34" t="n">
        <f aca="false">Cronograma!G10</f>
        <v>46304</v>
      </c>
      <c r="D10" s="34" t="n">
        <f aca="false">Cronograma!H10</f>
        <v>46314</v>
      </c>
      <c r="E10" s="32" t="str">
        <f aca="false">IF(Cronograma!I10="Sí","◆",IF(Cronograma!M10="Sí","RC",""))</f>
        <v>RC</v>
      </c>
    </row>
    <row r="11" customFormat="false" ht="15" hidden="false" customHeight="true" outlineLevel="0" collapsed="false">
      <c r="A11" s="32" t="str">
        <f aca="false">Cronograma!A11</f>
        <v>A06</v>
      </c>
      <c r="B11" s="33" t="str">
        <f aca="false">Cronograma!B11</f>
        <v>Documentar diagnóstico y línea base de indicadores</v>
      </c>
      <c r="C11" s="34" t="n">
        <f aca="false">Cronograma!G11</f>
        <v>46315</v>
      </c>
      <c r="D11" s="34" t="n">
        <f aca="false">Cronograma!H11</f>
        <v>46318</v>
      </c>
      <c r="E11" s="32" t="str">
        <f aca="false">IF(Cronograma!I11="Sí","◆",IF(Cronograma!M11="Sí","RC",""))</f>
        <v>RC</v>
      </c>
    </row>
    <row r="12" customFormat="false" ht="15" hidden="false" customHeight="true" outlineLevel="0" collapsed="false">
      <c r="A12" s="35" t="str">
        <f aca="false">Cronograma!A12</f>
        <v>A07</v>
      </c>
      <c r="B12" s="36" t="str">
        <f aca="false">Cronograma!B12</f>
        <v>Especificar requisitos e historias de usuario (incluye offline y seguridad)</v>
      </c>
      <c r="C12" s="37" t="n">
        <f aca="false">Cronograma!G12</f>
        <v>46321</v>
      </c>
      <c r="D12" s="37" t="n">
        <f aca="false">Cronograma!H12</f>
        <v>46335</v>
      </c>
      <c r="E12" s="35" t="str">
        <f aca="false">IF(Cronograma!I12="Sí","◆",IF(Cronograma!M12="Sí","RC",""))</f>
        <v/>
      </c>
    </row>
    <row r="13" customFormat="false" ht="15" hidden="false" customHeight="true" outlineLevel="0" collapsed="false">
      <c r="A13" s="35" t="str">
        <f aca="false">Cronograma!A13</f>
        <v>A08</v>
      </c>
      <c r="B13" s="36" t="str">
        <f aca="false">Cronograma!B13</f>
        <v>Definir indicadores de las 6 preguntas de la gerencia y validarlos con Finanzas</v>
      </c>
      <c r="C13" s="37" t="n">
        <f aca="false">Cronograma!G13</f>
        <v>46321</v>
      </c>
      <c r="D13" s="37" t="n">
        <f aca="false">Cronograma!H13</f>
        <v>46329</v>
      </c>
      <c r="E13" s="35" t="str">
        <f aca="false">IF(Cronograma!I13="Sí","◆",IF(Cronograma!M13="Sí","RC",""))</f>
        <v/>
      </c>
    </row>
    <row r="14" customFormat="false" ht="15" hidden="false" customHeight="true" outlineLevel="0" collapsed="false">
      <c r="A14" s="35" t="str">
        <f aca="false">Cronograma!A14</f>
        <v>A09</v>
      </c>
      <c r="B14" s="36" t="str">
        <f aca="false">Cronograma!B14</f>
        <v>Priorizar backlog en Release 1 y 2 y aprobar el alcance en comité</v>
      </c>
      <c r="C14" s="37" t="n">
        <f aca="false">Cronograma!G14</f>
        <v>46336</v>
      </c>
      <c r="D14" s="37" t="n">
        <f aca="false">Cronograma!H14</f>
        <v>46337</v>
      </c>
      <c r="E14" s="35" t="str">
        <f aca="false">IF(Cronograma!I14="Sí","◆",IF(Cronograma!M14="Sí","RC",""))</f>
        <v/>
      </c>
    </row>
    <row r="15" customFormat="false" ht="15" hidden="false" customHeight="true" outlineLevel="0" collapsed="false">
      <c r="A15" s="38" t="str">
        <f aca="false">Cronograma!A15</f>
        <v>H02</v>
      </c>
      <c r="B15" s="39" t="str">
        <f aca="false">Cronograma!B15</f>
        <v>Hito: Alcance aprobado</v>
      </c>
      <c r="C15" s="40" t="n">
        <f aca="false">Cronograma!G15</f>
        <v>46337</v>
      </c>
      <c r="D15" s="40" t="n">
        <f aca="false">Cronograma!H15</f>
        <v>46337</v>
      </c>
      <c r="E15" s="38" t="str">
        <f aca="false">IF(Cronograma!I15="Sí","◆",IF(Cronograma!M15="Sí","RC",""))</f>
        <v>◆</v>
      </c>
    </row>
    <row r="16" customFormat="false" ht="15" hidden="false" customHeight="true" outlineLevel="0" collapsed="false">
      <c r="A16" s="32" t="str">
        <f aca="false">Cronograma!A16</f>
        <v>A10</v>
      </c>
      <c r="B16" s="33" t="str">
        <f aca="false">Cronograma!B16</f>
        <v>Probar la API del sistema de compras con el proveedor (prueba de concepto)</v>
      </c>
      <c r="C16" s="34" t="n">
        <f aca="false">Cronograma!G16</f>
        <v>46304</v>
      </c>
      <c r="D16" s="34" t="n">
        <f aca="false">Cronograma!H16</f>
        <v>46318</v>
      </c>
      <c r="E16" s="32" t="str">
        <f aca="false">IF(Cronograma!I16="Sí","◆",IF(Cronograma!M16="Sí","RC",""))</f>
        <v>RC</v>
      </c>
    </row>
    <row r="17" customFormat="false" ht="15" hidden="false" customHeight="true" outlineLevel="0" collapsed="false">
      <c r="A17" s="32" t="str">
        <f aca="false">Cronograma!A17</f>
        <v>A11</v>
      </c>
      <c r="B17" s="33" t="str">
        <f aca="false">Cronograma!B17</f>
        <v>Diseñar arquitectura, integraciones y modelo de datos, y aprobarlos con TI</v>
      </c>
      <c r="C17" s="34" t="n">
        <f aca="false">Cronograma!G17</f>
        <v>46321</v>
      </c>
      <c r="D17" s="34" t="n">
        <f aca="false">Cronograma!H17</f>
        <v>46345</v>
      </c>
      <c r="E17" s="32" t="str">
        <f aca="false">IF(Cronograma!I17="Sí","◆",IF(Cronograma!M17="Sí","RC",""))</f>
        <v>RC</v>
      </c>
    </row>
    <row r="18" customFormat="false" ht="15" hidden="false" customHeight="true" outlineLevel="0" collapsed="false">
      <c r="A18" s="35" t="str">
        <f aca="false">Cronograma!A18</f>
        <v>A12</v>
      </c>
      <c r="B18" s="36" t="str">
        <f aca="false">Cronograma!B18</f>
        <v>Diseñar el prototipo UX/UI y validarlo con jefes de obra</v>
      </c>
      <c r="C18" s="37" t="n">
        <f aca="false">Cronograma!G18</f>
        <v>46338</v>
      </c>
      <c r="D18" s="37" t="n">
        <f aca="false">Cronograma!H18</f>
        <v>46365</v>
      </c>
      <c r="E18" s="35" t="str">
        <f aca="false">IF(Cronograma!I18="Sí","◆",IF(Cronograma!M18="Sí","RC",""))</f>
        <v/>
      </c>
    </row>
    <row r="19" customFormat="false" ht="15" hidden="false" customHeight="true" outlineLevel="0" collapsed="false">
      <c r="A19" s="38" t="str">
        <f aca="false">Cronograma!A19</f>
        <v>H03</v>
      </c>
      <c r="B19" s="39" t="str">
        <f aca="false">Cronograma!B19</f>
        <v>Hito: Diseño de solución aprobado</v>
      </c>
      <c r="C19" s="40" t="n">
        <f aca="false">Cronograma!G19</f>
        <v>46365</v>
      </c>
      <c r="D19" s="40" t="n">
        <f aca="false">Cronograma!H19</f>
        <v>46365</v>
      </c>
      <c r="E19" s="38" t="str">
        <f aca="false">IF(Cronograma!I19="Sí","◆",IF(Cronograma!M19="Sí","RC",""))</f>
        <v>◆</v>
      </c>
    </row>
    <row r="20" customFormat="false" ht="15" hidden="false" customHeight="true" outlineLevel="0" collapsed="false">
      <c r="A20" s="32" t="str">
        <f aca="false">Cronograma!A20</f>
        <v>A13</v>
      </c>
      <c r="B20" s="33" t="str">
        <f aca="false">Cronograma!B20</f>
        <v>Provisionar ambientes cloud, CI/CD, monitoreo y respaldos</v>
      </c>
      <c r="C20" s="34" t="n">
        <f aca="false">Cronograma!G20</f>
        <v>46346</v>
      </c>
      <c r="D20" s="34" t="n">
        <f aca="false">Cronograma!H20</f>
        <v>46367</v>
      </c>
      <c r="E20" s="32" t="str">
        <f aca="false">IF(Cronograma!I20="Sí","◆",IF(Cronograma!M20="Sí","RC",""))</f>
        <v>RC</v>
      </c>
    </row>
    <row r="21" customFormat="false" ht="15" hidden="false" customHeight="true" outlineLevel="0" collapsed="false">
      <c r="A21" s="35" t="str">
        <f aca="false">Cronograma!A21</f>
        <v>A14</v>
      </c>
      <c r="B21" s="36" t="str">
        <f aca="false">Cronograma!B21</f>
        <v>Desarrollar núcleo: usuarios, roles por obra, auditoría y maestros</v>
      </c>
      <c r="C21" s="37" t="n">
        <f aca="false">Cronograma!G21</f>
        <v>46370</v>
      </c>
      <c r="D21" s="37" t="n">
        <f aca="false">Cronograma!H21</f>
        <v>46391</v>
      </c>
      <c r="E21" s="35" t="str">
        <f aca="false">IF(Cronograma!I21="Sí","◆",IF(Cronograma!M21="Sí","RC",""))</f>
        <v/>
      </c>
    </row>
    <row r="22" customFormat="false" ht="15" hidden="false" customHeight="true" outlineLevel="0" collapsed="false">
      <c r="A22" s="35" t="str">
        <f aca="false">Cronograma!A22</f>
        <v>A15</v>
      </c>
      <c r="B22" s="36" t="str">
        <f aca="false">Cronograma!B22</f>
        <v>Desarrollar la app móvil offline y probarla en terreno</v>
      </c>
      <c r="C22" s="37" t="n">
        <f aca="false">Cronograma!G22</f>
        <v>46366</v>
      </c>
      <c r="D22" s="37" t="n">
        <f aca="false">Cronograma!H22</f>
        <v>46393</v>
      </c>
      <c r="E22" s="35" t="str">
        <f aca="false">IF(Cronograma!I22="Sí","◆",IF(Cronograma!M22="Sí","RC",""))</f>
        <v/>
      </c>
    </row>
    <row r="23" customFormat="false" ht="15" hidden="false" customHeight="true" outlineLevel="0" collapsed="false">
      <c r="A23" s="38" t="str">
        <f aca="false">Cronograma!A23</f>
        <v>H04</v>
      </c>
      <c r="B23" s="39" t="str">
        <f aca="false">Cronograma!B23</f>
        <v>Hito: Plataforma base operativa</v>
      </c>
      <c r="C23" s="40" t="n">
        <f aca="false">Cronograma!G23</f>
        <v>46395</v>
      </c>
      <c r="D23" s="40" t="n">
        <f aca="false">Cronograma!H23</f>
        <v>46395</v>
      </c>
      <c r="E23" s="38" t="str">
        <f aca="false">IF(Cronograma!I23="Sí","◆",IF(Cronograma!M23="Sí","RC",""))</f>
        <v>◆</v>
      </c>
    </row>
    <row r="24" customFormat="false" ht="15" hidden="false" customHeight="true" outlineLevel="0" collapsed="false">
      <c r="A24" s="32" t="str">
        <f aca="false">Cronograma!A24</f>
        <v>A16</v>
      </c>
      <c r="B24" s="33" t="str">
        <f aca="false">Cronograma!B24</f>
        <v>Integrar el inicio de sesión corporativo (SSO) y el repositorio documental Microsoft</v>
      </c>
      <c r="C24" s="34" t="n">
        <f aca="false">Cronograma!G24</f>
        <v>46370</v>
      </c>
      <c r="D24" s="34" t="n">
        <f aca="false">Cronograma!H24</f>
        <v>46395</v>
      </c>
      <c r="E24" s="32" t="str">
        <f aca="false">IF(Cronograma!I24="Sí","◆",IF(Cronograma!M24="Sí","RC",""))</f>
        <v>RC</v>
      </c>
    </row>
    <row r="25" customFormat="false" ht="15" hidden="false" customHeight="true" outlineLevel="0" collapsed="false">
      <c r="A25" s="32" t="str">
        <f aca="false">Cronograma!A25</f>
        <v>A17</v>
      </c>
      <c r="B25" s="33" t="str">
        <f aca="false">Cronograma!B25</f>
        <v>Integrar el sistema de compras (API) y validarlo con Adquisiciones</v>
      </c>
      <c r="C25" s="34" t="n">
        <f aca="false">Cronograma!G25</f>
        <v>46398</v>
      </c>
      <c r="D25" s="34" t="n">
        <f aca="false">Cronograma!H25</f>
        <v>46427</v>
      </c>
      <c r="E25" s="32" t="str">
        <f aca="false">IF(Cronograma!I25="Sí","◆",IF(Cronograma!M25="Sí","RC",""))</f>
        <v>RC</v>
      </c>
    </row>
    <row r="26" customFormat="false" ht="15" hidden="false" customHeight="true" outlineLevel="0" collapsed="false">
      <c r="A26" s="32" t="str">
        <f aca="false">Cronograma!A26</f>
        <v>A18</v>
      </c>
      <c r="B26" s="33" t="str">
        <f aca="false">Cronograma!B26</f>
        <v>Integrar el ERP en modo lectura y conciliar montos con Finanzas</v>
      </c>
      <c r="C26" s="34" t="n">
        <f aca="false">Cronograma!G26</f>
        <v>46428</v>
      </c>
      <c r="D26" s="34" t="n">
        <f aca="false">Cronograma!H26</f>
        <v>46450</v>
      </c>
      <c r="E26" s="32" t="str">
        <f aca="false">IF(Cronograma!I26="Sí","◆",IF(Cronograma!M26="Sí","RC",""))</f>
        <v>RC</v>
      </c>
    </row>
    <row r="27" customFormat="false" ht="15" hidden="false" customHeight="true" outlineLevel="0" collapsed="false">
      <c r="A27" s="35" t="str">
        <f aca="false">Cronograma!A27</f>
        <v>A19</v>
      </c>
      <c r="B27" s="36" t="str">
        <f aca="false">Cronograma!B27</f>
        <v>Desarrollar importación de programación, cálculo de avance y alertas de bloqueo</v>
      </c>
      <c r="C27" s="37" t="n">
        <f aca="false">Cronograma!G27</f>
        <v>46398</v>
      </c>
      <c r="D27" s="37" t="n">
        <f aca="false">Cronograma!H27</f>
        <v>46434</v>
      </c>
      <c r="E27" s="35" t="str">
        <f aca="false">IF(Cronograma!I27="Sí","◆",IF(Cronograma!M27="Sí","RC",""))</f>
        <v/>
      </c>
    </row>
    <row r="28" customFormat="false" ht="15" hidden="false" customHeight="true" outlineLevel="0" collapsed="false">
      <c r="A28" s="35" t="str">
        <f aca="false">Cronograma!A28</f>
        <v>A20</v>
      </c>
      <c r="B28" s="36" t="str">
        <f aca="false">Cronograma!B28</f>
        <v>Desarrollar el registro móvil de avance por partida con fotos</v>
      </c>
      <c r="C28" s="37" t="n">
        <f aca="false">Cronograma!G28</f>
        <v>46398</v>
      </c>
      <c r="D28" s="37" t="n">
        <f aca="false">Cronograma!H28</f>
        <v>46427</v>
      </c>
      <c r="E28" s="35" t="str">
        <f aca="false">IF(Cronograma!I28="Sí","◆",IF(Cronograma!M28="Sí","RC",""))</f>
        <v/>
      </c>
    </row>
    <row r="29" customFormat="false" ht="15" hidden="false" customHeight="true" outlineLevel="0" collapsed="false">
      <c r="A29" s="35" t="str">
        <f aca="false">Cronograma!A29</f>
        <v>A21</v>
      </c>
      <c r="B29" s="36" t="str">
        <f aca="false">Cronograma!B29</f>
        <v>Desarrollar el módulo de observaciones con fotos y flujo de cierre</v>
      </c>
      <c r="C29" s="37" t="n">
        <f aca="false">Cronograma!G29</f>
        <v>46398</v>
      </c>
      <c r="D29" s="37" t="n">
        <f aca="false">Cronograma!H29</f>
        <v>46415</v>
      </c>
      <c r="E29" s="35" t="str">
        <f aca="false">IF(Cronograma!I29="Sí","◆",IF(Cronograma!M29="Sí","RC",""))</f>
        <v/>
      </c>
    </row>
    <row r="30" customFormat="false" ht="15" hidden="false" customHeight="true" outlineLevel="0" collapsed="false">
      <c r="A30" s="35" t="str">
        <f aca="false">Cronograma!A30</f>
        <v>A22</v>
      </c>
      <c r="B30" s="36" t="str">
        <f aca="false">Cronograma!B30</f>
        <v>Desarrollar el catálogo y el visor offline de planos vigentes</v>
      </c>
      <c r="C30" s="37" t="n">
        <f aca="false">Cronograma!G30</f>
        <v>46416</v>
      </c>
      <c r="D30" s="37" t="n">
        <f aca="false">Cronograma!H30</f>
        <v>46430</v>
      </c>
      <c r="E30" s="35" t="str">
        <f aca="false">IF(Cronograma!I30="Sí","◆",IF(Cronograma!M30="Sí","RC",""))</f>
        <v/>
      </c>
    </row>
    <row r="31" customFormat="false" ht="15" hidden="false" customHeight="true" outlineLevel="0" collapsed="false">
      <c r="A31" s="35" t="str">
        <f aca="false">Cronograma!A31</f>
        <v>A23</v>
      </c>
      <c r="B31" s="36" t="str">
        <f aca="false">Cronograma!B31</f>
        <v>Desarrollar el módulo de materiales (OC, recepción móvil y conciliación con facturas)</v>
      </c>
      <c r="C31" s="37" t="n">
        <f aca="false">Cronograma!G31</f>
        <v>46449</v>
      </c>
      <c r="D31" s="37" t="n">
        <f aca="false">Cronograma!H31</f>
        <v>46470</v>
      </c>
      <c r="E31" s="35" t="str">
        <f aca="false">IF(Cronograma!I31="Sí","◆",IF(Cronograma!M31="Sí","RC",""))</f>
        <v/>
      </c>
    </row>
    <row r="32" customFormat="false" ht="15" hidden="false" customHeight="true" outlineLevel="0" collapsed="false">
      <c r="A32" s="35" t="str">
        <f aca="false">Cronograma!A32</f>
        <v>A24</v>
      </c>
      <c r="B32" s="36" t="str">
        <f aca="false">Cronograma!B32</f>
        <v>Desarrollar el módulo de subcontratos y estados de pago</v>
      </c>
      <c r="C32" s="37" t="n">
        <f aca="false">Cronograma!G32</f>
        <v>46433</v>
      </c>
      <c r="D32" s="37" t="n">
        <f aca="false">Cronograma!H32</f>
        <v>46456</v>
      </c>
      <c r="E32" s="35" t="str">
        <f aca="false">IF(Cronograma!I32="Sí","◆",IF(Cronograma!M32="Sí","RC",""))</f>
        <v/>
      </c>
    </row>
    <row r="33" customFormat="false" ht="15" hidden="false" customHeight="true" outlineLevel="0" collapsed="false">
      <c r="A33" s="35" t="str">
        <f aca="false">Cronograma!A33</f>
        <v>A25</v>
      </c>
      <c r="B33" s="36" t="str">
        <f aca="false">Cronograma!B33</f>
        <v>Construir el modelo analítico con cargas diarias</v>
      </c>
      <c r="C33" s="37" t="n">
        <f aca="false">Cronograma!G33</f>
        <v>46398</v>
      </c>
      <c r="D33" s="37" t="n">
        <f aca="false">Cronograma!H33</f>
        <v>46420</v>
      </c>
      <c r="E33" s="35" t="str">
        <f aca="false">IF(Cronograma!I33="Sí","◆",IF(Cronograma!M33="Sí","RC",""))</f>
        <v/>
      </c>
    </row>
    <row r="34" customFormat="false" ht="15" hidden="false" customHeight="true" outlineLevel="0" collapsed="false">
      <c r="A34" s="32" t="str">
        <f aca="false">Cronograma!A34</f>
        <v>A26</v>
      </c>
      <c r="B34" s="33" t="str">
        <f aca="false">Cronograma!B34</f>
        <v>Desarrollar el tablero ejecutivo y validarlo con Gerencia y Finanzas</v>
      </c>
      <c r="C34" s="34" t="n">
        <f aca="false">Cronograma!G34</f>
        <v>46451</v>
      </c>
      <c r="D34" s="34" t="n">
        <f aca="false">Cronograma!H34</f>
        <v>46475</v>
      </c>
      <c r="E34" s="32" t="str">
        <f aca="false">IF(Cronograma!I34="Sí","◆",IF(Cronograma!M34="Sí","RC",""))</f>
        <v>RC</v>
      </c>
    </row>
    <row r="35" customFormat="false" ht="15" hidden="false" customHeight="true" outlineLevel="0" collapsed="false">
      <c r="A35" s="35" t="str">
        <f aca="false">Cronograma!A35</f>
        <v>A27</v>
      </c>
      <c r="B35" s="36" t="str">
        <f aca="false">Cronograma!B35</f>
        <v>Elaborar el plan y los casos de prueba</v>
      </c>
      <c r="C35" s="37" t="n">
        <f aca="false">Cronograma!G35</f>
        <v>46338</v>
      </c>
      <c r="D35" s="37" t="n">
        <f aca="false">Cronograma!H35</f>
        <v>46353</v>
      </c>
      <c r="E35" s="35" t="str">
        <f aca="false">IF(Cronograma!I35="Sí","◆",IF(Cronograma!M35="Sí","RC",""))</f>
        <v/>
      </c>
    </row>
    <row r="36" customFormat="false" ht="15" hidden="false" customHeight="true" outlineLevel="0" collapsed="false">
      <c r="A36" s="35" t="str">
        <f aca="false">Cronograma!A36</f>
        <v>A28</v>
      </c>
      <c r="B36" s="36" t="str">
        <f aca="false">Cronograma!B36</f>
        <v>Apoyar los sprints: refinamiento, diseño de detalle, QA continuo, ambientes y revisión técnica</v>
      </c>
      <c r="C36" s="37" t="n">
        <f aca="false">Cronograma!G36</f>
        <v>46398</v>
      </c>
      <c r="D36" s="37" t="n">
        <f aca="false">Cronograma!H36</f>
        <v>46456</v>
      </c>
      <c r="E36" s="35" t="str">
        <f aca="false">IF(Cronograma!I36="Sí","◆",IF(Cronograma!M36="Sí","RC",""))</f>
        <v/>
      </c>
    </row>
    <row r="37" customFormat="false" ht="15" hidden="false" customHeight="true" outlineLevel="0" collapsed="false">
      <c r="A37" s="35" t="str">
        <f aca="false">Cronograma!A37</f>
        <v>A29</v>
      </c>
      <c r="B37" s="36" t="str">
        <f aca="false">Cronograma!B37</f>
        <v>Ejecutar pruebas de sistema de Release 1 y corregir defectos</v>
      </c>
      <c r="C37" s="37" t="n">
        <f aca="false">Cronograma!G37</f>
        <v>46435</v>
      </c>
      <c r="D37" s="37" t="n">
        <f aca="false">Cronograma!H37</f>
        <v>46448</v>
      </c>
      <c r="E37" s="35" t="str">
        <f aca="false">IF(Cronograma!I37="Sí","◆",IF(Cronograma!M37="Sí","RC",""))</f>
        <v/>
      </c>
    </row>
    <row r="38" customFormat="false" ht="15" hidden="false" customHeight="true" outlineLevel="0" collapsed="false">
      <c r="A38" s="35" t="str">
        <f aca="false">Cronograma!A38</f>
        <v>A30</v>
      </c>
      <c r="B38" s="36" t="str">
        <f aca="false">Cronograma!B38</f>
        <v>Realizar la prueba de aceptación (UAT) de Release 1 con usuarios de obra</v>
      </c>
      <c r="C38" s="37" t="n">
        <f aca="false">Cronograma!G38</f>
        <v>46449</v>
      </c>
      <c r="D38" s="37" t="n">
        <f aca="false">Cronograma!H38</f>
        <v>46455</v>
      </c>
      <c r="E38" s="35" t="str">
        <f aca="false">IF(Cronograma!I38="Sí","◆",IF(Cronograma!M38="Sí","RC",""))</f>
        <v/>
      </c>
    </row>
    <row r="39" customFormat="false" ht="15" hidden="false" customHeight="true" outlineLevel="0" collapsed="false">
      <c r="A39" s="38" t="str">
        <f aca="false">Cronograma!A39</f>
        <v>H05</v>
      </c>
      <c r="B39" s="39" t="str">
        <f aca="false">Cronograma!B39</f>
        <v>Hito: Release 1 aceptada</v>
      </c>
      <c r="C39" s="40" t="n">
        <f aca="false">Cronograma!G39</f>
        <v>46455</v>
      </c>
      <c r="D39" s="40" t="n">
        <f aca="false">Cronograma!H39</f>
        <v>46455</v>
      </c>
      <c r="E39" s="38" t="str">
        <f aca="false">IF(Cronograma!I39="Sí","◆",IF(Cronograma!M39="Sí","RC",""))</f>
        <v>◆</v>
      </c>
    </row>
    <row r="40" customFormat="false" ht="15" hidden="false" customHeight="true" outlineLevel="0" collapsed="false">
      <c r="A40" s="32" t="str">
        <f aca="false">Cronograma!A40</f>
        <v>A31</v>
      </c>
      <c r="B40" s="33" t="str">
        <f aca="false">Cronograma!B40</f>
        <v>Ejecutar pruebas de sistema de Release 2 (con regresión) y corregir defectos</v>
      </c>
      <c r="C40" s="34" t="n">
        <f aca="false">Cronograma!G40</f>
        <v>46476</v>
      </c>
      <c r="D40" s="34" t="n">
        <f aca="false">Cronograma!H40</f>
        <v>46489</v>
      </c>
      <c r="E40" s="32" t="str">
        <f aca="false">IF(Cronograma!I40="Sí","◆",IF(Cronograma!M40="Sí","RC",""))</f>
        <v>RC</v>
      </c>
    </row>
    <row r="41" customFormat="false" ht="15" hidden="false" customHeight="true" outlineLevel="0" collapsed="false">
      <c r="A41" s="32" t="str">
        <f aca="false">Cronograma!A41</f>
        <v>A32</v>
      </c>
      <c r="B41" s="33" t="str">
        <f aca="false">Cronograma!B41</f>
        <v>Ejecutar la prueba de seguridad externa y corregir hallazgos</v>
      </c>
      <c r="C41" s="34" t="n">
        <f aca="false">Cronograma!G41</f>
        <v>46490</v>
      </c>
      <c r="D41" s="34" t="n">
        <f aca="false">Cronograma!H41</f>
        <v>46499</v>
      </c>
      <c r="E41" s="32" t="str">
        <f aca="false">IF(Cronograma!I41="Sí","◆",IF(Cronograma!M41="Sí","RC",""))</f>
        <v>RC</v>
      </c>
    </row>
    <row r="42" customFormat="false" ht="15" hidden="false" customHeight="true" outlineLevel="0" collapsed="false">
      <c r="A42" s="35" t="str">
        <f aca="false">Cronograma!A42</f>
        <v>A33</v>
      </c>
      <c r="B42" s="36" t="str">
        <f aca="false">Cronograma!B42</f>
        <v>Realizar la UAT de Release 2 con obra y oficina central</v>
      </c>
      <c r="C42" s="37" t="n">
        <f aca="false">Cronograma!G42</f>
        <v>46490</v>
      </c>
      <c r="D42" s="37" t="n">
        <f aca="false">Cronograma!H42</f>
        <v>46496</v>
      </c>
      <c r="E42" s="35" t="str">
        <f aca="false">IF(Cronograma!I42="Sí","◆",IF(Cronograma!M42="Sí","RC",""))</f>
        <v/>
      </c>
    </row>
    <row r="43" customFormat="false" ht="15" hidden="false" customHeight="true" outlineLevel="0" collapsed="false">
      <c r="A43" s="32" t="str">
        <f aca="false">Cronograma!A43</f>
        <v>H07</v>
      </c>
      <c r="B43" s="33" t="str">
        <f aca="false">Cronograma!B43</f>
        <v>Hito: Release 2 aceptada</v>
      </c>
      <c r="C43" s="34" t="n">
        <f aca="false">Cronograma!G43</f>
        <v>46499</v>
      </c>
      <c r="D43" s="34" t="n">
        <f aca="false">Cronograma!H43</f>
        <v>46499</v>
      </c>
      <c r="E43" s="32" t="str">
        <f aca="false">IF(Cronograma!I43="Sí","◆",IF(Cronograma!M43="Sí","RC",""))</f>
        <v>◆</v>
      </c>
    </row>
    <row r="44" customFormat="false" ht="15" hidden="false" customHeight="true" outlineLevel="0" collapsed="false">
      <c r="A44" s="35" t="str">
        <f aca="false">Cronograma!A44</f>
        <v>A34</v>
      </c>
      <c r="B44" s="36" t="str">
        <f aca="false">Cronograma!B44</f>
        <v>Elaborar el plan de cambio, comprar dispositivos y cargar datos maestros de las obras</v>
      </c>
      <c r="C44" s="37" t="n">
        <f aca="false">Cronograma!G44</f>
        <v>46398</v>
      </c>
      <c r="D44" s="37" t="n">
        <f aca="false">Cronograma!H44</f>
        <v>46423</v>
      </c>
      <c r="E44" s="35" t="str">
        <f aca="false">IF(Cronograma!I44="Sí","◆",IF(Cronograma!M44="Sí","RC",""))</f>
        <v/>
      </c>
    </row>
    <row r="45" customFormat="false" ht="15" hidden="false" customHeight="true" outlineLevel="0" collapsed="false">
      <c r="A45" s="35" t="str">
        <f aca="false">Cronograma!A45</f>
        <v>A35</v>
      </c>
      <c r="B45" s="36" t="str">
        <f aca="false">Cronograma!B45</f>
        <v>Capacitar a los usuarios de obra en Release 1 (sesiones cortas en obra)</v>
      </c>
      <c r="C45" s="37" t="n">
        <f aca="false">Cronograma!G45</f>
        <v>46449</v>
      </c>
      <c r="D45" s="37" t="n">
        <f aca="false">Cronograma!H45</f>
        <v>46458</v>
      </c>
      <c r="E45" s="35" t="str">
        <f aca="false">IF(Cronograma!I45="Sí","◆",IF(Cronograma!M45="Sí","RC",""))</f>
        <v/>
      </c>
    </row>
    <row r="46" customFormat="false" ht="15" hidden="false" customHeight="true" outlineLevel="0" collapsed="false">
      <c r="A46" s="35" t="str">
        <f aca="false">Cronograma!A46</f>
        <v>A36</v>
      </c>
      <c r="B46" s="36" t="str">
        <f aca="false">Cronograma!B46</f>
        <v>Desplegar Release 1 en producción</v>
      </c>
      <c r="C46" s="37" t="n">
        <f aca="false">Cronograma!G46</f>
        <v>46461</v>
      </c>
      <c r="D46" s="37" t="n">
        <f aca="false">Cronograma!H46</f>
        <v>46461</v>
      </c>
      <c r="E46" s="35" t="str">
        <f aca="false">IF(Cronograma!I46="Sí","◆",IF(Cronograma!M46="Sí","RC",""))</f>
        <v/>
      </c>
    </row>
    <row r="47" customFormat="false" ht="15" hidden="false" customHeight="true" outlineLevel="0" collapsed="false">
      <c r="A47" s="38" t="str">
        <f aca="false">Cronograma!A47</f>
        <v>H06</v>
      </c>
      <c r="B47" s="39" t="str">
        <f aca="false">Cronograma!B47</f>
        <v>Hito: Release 1 en operación en las 3 obras</v>
      </c>
      <c r="C47" s="40" t="n">
        <f aca="false">Cronograma!G47</f>
        <v>46461</v>
      </c>
      <c r="D47" s="40" t="n">
        <f aca="false">Cronograma!H47</f>
        <v>46461</v>
      </c>
      <c r="E47" s="38" t="str">
        <f aca="false">IF(Cronograma!I47="Sí","◆",IF(Cronograma!M47="Sí","RC",""))</f>
        <v>◆</v>
      </c>
    </row>
    <row r="48" customFormat="false" ht="15" hidden="false" customHeight="true" outlineLevel="0" collapsed="false">
      <c r="A48" s="35" t="str">
        <f aca="false">Cronograma!A48</f>
        <v>A37</v>
      </c>
      <c r="B48" s="36" t="str">
        <f aca="false">Cronograma!B48</f>
        <v>Acompañar la operación asistida de Release 1 en terreno</v>
      </c>
      <c r="C48" s="37" t="n">
        <f aca="false">Cronograma!G48</f>
        <v>46462</v>
      </c>
      <c r="D48" s="37" t="n">
        <f aca="false">Cronograma!H48</f>
        <v>46489</v>
      </c>
      <c r="E48" s="35" t="str">
        <f aca="false">IF(Cronograma!I48="Sí","◆",IF(Cronograma!M48="Sí","RC",""))</f>
        <v/>
      </c>
    </row>
    <row r="49" customFormat="false" ht="15" hidden="false" customHeight="true" outlineLevel="0" collapsed="false">
      <c r="A49" s="35" t="str">
        <f aca="false">Cronograma!A49</f>
        <v>A38</v>
      </c>
      <c r="B49" s="36" t="str">
        <f aca="false">Cronograma!B49</f>
        <v>Capacitar a los usuarios en Release 2</v>
      </c>
      <c r="C49" s="37" t="n">
        <f aca="false">Cronograma!G49</f>
        <v>46490</v>
      </c>
      <c r="D49" s="37" t="n">
        <f aca="false">Cronograma!H49</f>
        <v>46497</v>
      </c>
      <c r="E49" s="35" t="str">
        <f aca="false">IF(Cronograma!I49="Sí","◆",IF(Cronograma!M49="Sí","RC",""))</f>
        <v/>
      </c>
    </row>
    <row r="50" customFormat="false" ht="15" hidden="false" customHeight="true" outlineLevel="0" collapsed="false">
      <c r="A50" s="32" t="str">
        <f aca="false">Cronograma!A50</f>
        <v>A39</v>
      </c>
      <c r="B50" s="33" t="str">
        <f aca="false">Cronograma!B50</f>
        <v>Desplegar Release 2 en producción</v>
      </c>
      <c r="C50" s="34" t="n">
        <f aca="false">Cronograma!G50</f>
        <v>46500</v>
      </c>
      <c r="D50" s="34" t="n">
        <f aca="false">Cronograma!H50</f>
        <v>46500</v>
      </c>
      <c r="E50" s="32" t="str">
        <f aca="false">IF(Cronograma!I50="Sí","◆",IF(Cronograma!M50="Sí","RC",""))</f>
        <v>RC</v>
      </c>
    </row>
    <row r="51" customFormat="false" ht="15" hidden="false" customHeight="true" outlineLevel="0" collapsed="false">
      <c r="A51" s="32" t="str">
        <f aca="false">Cronograma!A51</f>
        <v>H08</v>
      </c>
      <c r="B51" s="33" t="str">
        <f aca="false">Cronograma!B51</f>
        <v>Hito: Release 2 en operación en las 3 obras</v>
      </c>
      <c r="C51" s="34" t="n">
        <f aca="false">Cronograma!G51</f>
        <v>46500</v>
      </c>
      <c r="D51" s="34" t="n">
        <f aca="false">Cronograma!H51</f>
        <v>46500</v>
      </c>
      <c r="E51" s="32" t="str">
        <f aca="false">IF(Cronograma!I51="Sí","◆",IF(Cronograma!M51="Sí","RC",""))</f>
        <v>◆</v>
      </c>
    </row>
    <row r="52" customFormat="false" ht="15" hidden="false" customHeight="true" outlineLevel="0" collapsed="false">
      <c r="A52" s="32" t="str">
        <f aca="false">Cronograma!A52</f>
        <v>A40</v>
      </c>
      <c r="B52" s="33" t="str">
        <f aca="false">Cronograma!B52</f>
        <v>Acompañar la operación asistida de Release 2 durante 2 ciclos mensuales de EP</v>
      </c>
      <c r="C52" s="34" t="n">
        <f aca="false">Cronograma!G52</f>
        <v>46503</v>
      </c>
      <c r="D52" s="34" t="n">
        <f aca="false">Cronograma!H52</f>
        <v>46560</v>
      </c>
      <c r="E52" s="32" t="str">
        <f aca="false">IF(Cronograma!I52="Sí","◆",IF(Cronograma!M52="Sí","RC",""))</f>
        <v>RC</v>
      </c>
    </row>
    <row r="53" customFormat="false" ht="15" hidden="false" customHeight="true" outlineLevel="0" collapsed="false">
      <c r="A53" s="32" t="str">
        <f aca="false">Cronograma!A53</f>
        <v>A41</v>
      </c>
      <c r="B53" s="33" t="str">
        <f aca="false">Cronograma!B53</f>
        <v>Medir resultados del piloto y elaborar el plan de escalamiento</v>
      </c>
      <c r="C53" s="34" t="n">
        <f aca="false">Cronograma!G53</f>
        <v>46561</v>
      </c>
      <c r="D53" s="34" t="n">
        <f aca="false">Cronograma!H53</f>
        <v>46574</v>
      </c>
      <c r="E53" s="32" t="str">
        <f aca="false">IF(Cronograma!I53="Sí","◆",IF(Cronograma!M53="Sí","RC",""))</f>
        <v>RC</v>
      </c>
    </row>
    <row r="54" customFormat="false" ht="15" hidden="false" customHeight="true" outlineLevel="0" collapsed="false">
      <c r="A54" s="32" t="str">
        <f aca="false">Cronograma!A54</f>
        <v>H09</v>
      </c>
      <c r="B54" s="33" t="str">
        <f aca="false">Cronograma!B54</f>
        <v>Hito: Evaluación del piloto aprobada</v>
      </c>
      <c r="C54" s="34" t="n">
        <f aca="false">Cronograma!G54</f>
        <v>46574</v>
      </c>
      <c r="D54" s="34" t="n">
        <f aca="false">Cronograma!H54</f>
        <v>46574</v>
      </c>
      <c r="E54" s="32" t="str">
        <f aca="false">IF(Cronograma!I54="Sí","◆",IF(Cronograma!M54="Sí","RC",""))</f>
        <v>◆</v>
      </c>
    </row>
    <row r="55" customFormat="false" ht="15" hidden="false" customHeight="true" outlineLevel="0" collapsed="false">
      <c r="A55" s="35" t="str">
        <f aca="false">Cronograma!A55</f>
        <v>A42</v>
      </c>
      <c r="B55" s="36" t="str">
        <f aca="false">Cronograma!B55</f>
        <v>Elaborar documentación y manuales, y traspasar la operación a TI</v>
      </c>
      <c r="C55" s="37" t="n">
        <f aca="false">Cronograma!G55</f>
        <v>46503</v>
      </c>
      <c r="D55" s="37" t="n">
        <f aca="false">Cronograma!H55</f>
        <v>46518</v>
      </c>
      <c r="E55" s="35" t="str">
        <f aca="false">IF(Cronograma!I55="Sí","◆",IF(Cronograma!M55="Sí","RC",""))</f>
        <v/>
      </c>
    </row>
    <row r="57" customFormat="false" ht="13.5" hidden="false" customHeight="false" outlineLevel="0" collapsed="false">
      <c r="B57" s="41" t="s">
        <v>494</v>
      </c>
    </row>
  </sheetData>
  <mergeCells count="1">
    <mergeCell ref="A1:AN1"/>
  </mergeCells>
  <conditionalFormatting sqref="F4:KZ55">
    <cfRule type="expression" priority="2" aboveAverage="0" equalAverage="0" bottom="0" percent="0" rank="0" text="" dxfId="0">
      <formula>AND($E4="◆",F$3=$C4)</formula>
    </cfRule>
    <cfRule type="expression" priority="3" aboveAverage="0" equalAverage="0" bottom="0" percent="0" rank="0" text="" dxfId="1">
      <formula>AND($E4="RC",F$3&gt;=$C4,F$3&lt;=$D4)</formula>
    </cfRule>
    <cfRule type="expression" priority="4" aboveAverage="0" equalAverage="0" bottom="0" percent="0" rank="0" text="" dxfId="2">
      <formula>AND(F$3&gt;=$C4,F$3&lt;=$D4,$C4&lt;&gt;"")</formula>
    </cfRule>
    <cfRule type="expression" priority="5" aboveAverage="0" equalAverage="0" bottom="0" percent="0" rank="0" text="" dxfId="3">
      <formula>F$3=$D$2</formula>
    </cfRule>
    <cfRule type="expression" priority="6" aboveAverage="0" equalAverage="0" bottom="0" percent="0" rank="0" text="" dxfId="4">
      <formula>WEEKDAY(F$3,2)&gt;5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Z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4" min="3" style="0" width="11"/>
    <col collapsed="false" customWidth="true" hidden="false" outlineLevel="0" max="49" min="5" style="0" width="3.2"/>
  </cols>
  <sheetData>
    <row r="1" customFormat="false" ht="19.7" hidden="false" customHeight="false" outlineLevel="0" collapsed="false">
      <c r="A1" s="7" t="s">
        <v>495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</row>
    <row r="2" customFormat="false" ht="15" hidden="false" customHeight="false" outlineLevel="0" collapsed="false">
      <c r="C2" s="42" t="s">
        <v>490</v>
      </c>
      <c r="D2" s="43" t="n">
        <f aca="false">Calendario!$B$7</f>
        <v>46603</v>
      </c>
      <c r="E2" s="44" t="s">
        <v>496</v>
      </c>
      <c r="F2" s="44" t="s">
        <v>497</v>
      </c>
      <c r="G2" s="44" t="s">
        <v>498</v>
      </c>
      <c r="H2" s="44" t="s">
        <v>499</v>
      </c>
      <c r="I2" s="44" t="s">
        <v>500</v>
      </c>
      <c r="J2" s="44" t="s">
        <v>501</v>
      </c>
      <c r="K2" s="44" t="s">
        <v>502</v>
      </c>
      <c r="L2" s="44" t="s">
        <v>503</v>
      </c>
      <c r="M2" s="44" t="s">
        <v>504</v>
      </c>
      <c r="N2" s="44" t="s">
        <v>505</v>
      </c>
      <c r="O2" s="44" t="s">
        <v>506</v>
      </c>
      <c r="P2" s="44" t="s">
        <v>507</v>
      </c>
      <c r="Q2" s="44" t="s">
        <v>508</v>
      </c>
      <c r="R2" s="44" t="s">
        <v>509</v>
      </c>
      <c r="S2" s="44" t="s">
        <v>510</v>
      </c>
      <c r="T2" s="44" t="s">
        <v>511</v>
      </c>
      <c r="U2" s="44" t="s">
        <v>512</v>
      </c>
      <c r="V2" s="44" t="s">
        <v>513</v>
      </c>
      <c r="W2" s="44" t="s">
        <v>514</v>
      </c>
      <c r="X2" s="44" t="s">
        <v>515</v>
      </c>
      <c r="Y2" s="44" t="s">
        <v>516</v>
      </c>
      <c r="Z2" s="44" t="s">
        <v>517</v>
      </c>
      <c r="AA2" s="44" t="s">
        <v>518</v>
      </c>
      <c r="AB2" s="44" t="s">
        <v>519</v>
      </c>
      <c r="AC2" s="44" t="s">
        <v>520</v>
      </c>
      <c r="AD2" s="44" t="s">
        <v>521</v>
      </c>
      <c r="AE2" s="44" t="s">
        <v>522</v>
      </c>
      <c r="AF2" s="44" t="s">
        <v>523</v>
      </c>
      <c r="AG2" s="44" t="s">
        <v>524</v>
      </c>
      <c r="AH2" s="44" t="s">
        <v>525</v>
      </c>
      <c r="AI2" s="44" t="s">
        <v>526</v>
      </c>
      <c r="AJ2" s="44" t="s">
        <v>527</v>
      </c>
      <c r="AK2" s="44" t="s">
        <v>528</v>
      </c>
      <c r="AL2" s="44" t="s">
        <v>529</v>
      </c>
      <c r="AM2" s="44" t="s">
        <v>530</v>
      </c>
      <c r="AN2" s="44" t="s">
        <v>531</v>
      </c>
      <c r="AO2" s="44" t="s">
        <v>532</v>
      </c>
      <c r="AP2" s="44" t="s">
        <v>533</v>
      </c>
      <c r="AQ2" s="44" t="s">
        <v>534</v>
      </c>
      <c r="AR2" s="44" t="s">
        <v>535</v>
      </c>
      <c r="AS2" s="44" t="s">
        <v>536</v>
      </c>
      <c r="AT2" s="44" t="s">
        <v>537</v>
      </c>
      <c r="AU2" s="44" t="s">
        <v>538</v>
      </c>
      <c r="AV2" s="44" t="s">
        <v>539</v>
      </c>
      <c r="AW2" s="44" t="s">
        <v>540</v>
      </c>
    </row>
    <row r="3" customFormat="false" ht="39.75" hidden="false" customHeight="true" outlineLevel="0" collapsed="false">
      <c r="A3" s="8" t="s">
        <v>541</v>
      </c>
      <c r="B3" s="8" t="s">
        <v>542</v>
      </c>
      <c r="C3" s="8" t="s">
        <v>492</v>
      </c>
      <c r="D3" s="8" t="s">
        <v>493</v>
      </c>
      <c r="E3" s="31" t="n">
        <v>46300</v>
      </c>
      <c r="F3" s="31" t="n">
        <v>46307</v>
      </c>
      <c r="G3" s="31" t="n">
        <v>46314</v>
      </c>
      <c r="H3" s="31" t="n">
        <v>46321</v>
      </c>
      <c r="I3" s="31" t="n">
        <v>46328</v>
      </c>
      <c r="J3" s="31" t="n">
        <v>46335</v>
      </c>
      <c r="K3" s="31" t="n">
        <v>46342</v>
      </c>
      <c r="L3" s="31" t="n">
        <v>46349</v>
      </c>
      <c r="M3" s="31" t="n">
        <v>46356</v>
      </c>
      <c r="N3" s="31" t="n">
        <v>46363</v>
      </c>
      <c r="O3" s="31" t="n">
        <v>46370</v>
      </c>
      <c r="P3" s="31" t="n">
        <v>46377</v>
      </c>
      <c r="Q3" s="31" t="n">
        <v>46384</v>
      </c>
      <c r="R3" s="31" t="n">
        <v>46391</v>
      </c>
      <c r="S3" s="31" t="n">
        <v>46398</v>
      </c>
      <c r="T3" s="31" t="n">
        <v>46405</v>
      </c>
      <c r="U3" s="31" t="n">
        <v>46412</v>
      </c>
      <c r="V3" s="31" t="n">
        <v>46419</v>
      </c>
      <c r="W3" s="31" t="n">
        <v>46426</v>
      </c>
      <c r="X3" s="31" t="n">
        <v>46433</v>
      </c>
      <c r="Y3" s="31" t="n">
        <v>46440</v>
      </c>
      <c r="Z3" s="31" t="n">
        <v>46447</v>
      </c>
      <c r="AA3" s="31" t="n">
        <v>46454</v>
      </c>
      <c r="AB3" s="31" t="n">
        <v>46461</v>
      </c>
      <c r="AC3" s="31" t="n">
        <v>46468</v>
      </c>
      <c r="AD3" s="31" t="n">
        <v>46475</v>
      </c>
      <c r="AE3" s="31" t="n">
        <v>46482</v>
      </c>
      <c r="AF3" s="31" t="n">
        <v>46489</v>
      </c>
      <c r="AG3" s="31" t="n">
        <v>46496</v>
      </c>
      <c r="AH3" s="31" t="n">
        <v>46503</v>
      </c>
      <c r="AI3" s="31" t="n">
        <v>46510</v>
      </c>
      <c r="AJ3" s="31" t="n">
        <v>46517</v>
      </c>
      <c r="AK3" s="31" t="n">
        <v>46524</v>
      </c>
      <c r="AL3" s="31" t="n">
        <v>46531</v>
      </c>
      <c r="AM3" s="31" t="n">
        <v>46538</v>
      </c>
      <c r="AN3" s="31" t="n">
        <v>46545</v>
      </c>
      <c r="AO3" s="31" t="n">
        <v>46552</v>
      </c>
      <c r="AP3" s="31" t="n">
        <v>46559</v>
      </c>
      <c r="AQ3" s="31" t="n">
        <v>46566</v>
      </c>
      <c r="AR3" s="31" t="n">
        <v>46573</v>
      </c>
      <c r="AS3" s="31" t="n">
        <v>46580</v>
      </c>
      <c r="AT3" s="31" t="n">
        <v>46587</v>
      </c>
      <c r="AU3" s="31" t="n">
        <v>46594</v>
      </c>
      <c r="AV3" s="31" t="n">
        <v>46601</v>
      </c>
      <c r="AW3" s="31" t="n">
        <v>46608</v>
      </c>
    </row>
    <row r="4" customFormat="false" ht="18" hidden="false" customHeight="true" outlineLevel="0" collapsed="false">
      <c r="A4" s="45" t="s">
        <v>543</v>
      </c>
      <c r="B4" s="46" t="s">
        <v>25</v>
      </c>
      <c r="C4" s="47" t="n">
        <f aca="false">MIN(Cronograma!$G$4:$G$55)</f>
        <v>46300</v>
      </c>
      <c r="D4" s="47" t="n">
        <f aca="false">MAX(Cronograma!$H$4:$H$55)</f>
        <v>46580</v>
      </c>
    </row>
    <row r="5" customFormat="false" ht="18" hidden="false" customHeight="true" outlineLevel="0" collapsed="false">
      <c r="A5" s="45" t="s">
        <v>474</v>
      </c>
      <c r="B5" s="48" t="s">
        <v>544</v>
      </c>
      <c r="C5" s="47" t="n">
        <f aca="false">_xlfn.MINIFS(Cronograma!$G$4:$G$55,Cronograma!$O$4:$O$55,A5)</f>
        <v>46300</v>
      </c>
      <c r="D5" s="47" t="n">
        <f aca="false">_xlfn.MAXIFS(Cronograma!$H$4:$H$55,Cronograma!$O$4:$O$55,A5)</f>
        <v>46580</v>
      </c>
    </row>
    <row r="6" customFormat="false" ht="18" hidden="false" customHeight="true" outlineLevel="0" collapsed="false">
      <c r="A6" s="45" t="s">
        <v>475</v>
      </c>
      <c r="B6" s="48" t="s">
        <v>545</v>
      </c>
      <c r="C6" s="47" t="n">
        <f aca="false">_xlfn.MINIFS(Cronograma!$G$4:$G$55,Cronograma!$O$4:$O$55,A6)</f>
        <v>46304</v>
      </c>
      <c r="D6" s="47" t="n">
        <f aca="false">_xlfn.MAXIFS(Cronograma!$H$4:$H$55,Cronograma!$O$4:$O$55,A6)</f>
        <v>46337</v>
      </c>
    </row>
    <row r="7" customFormat="false" ht="18" hidden="false" customHeight="true" outlineLevel="0" collapsed="false">
      <c r="A7" s="45" t="s">
        <v>476</v>
      </c>
      <c r="B7" s="48" t="s">
        <v>546</v>
      </c>
      <c r="C7" s="47" t="n">
        <f aca="false">_xlfn.MINIFS(Cronograma!$G$4:$G$55,Cronograma!$O$4:$O$55,A7)</f>
        <v>46304</v>
      </c>
      <c r="D7" s="47" t="n">
        <f aca="false">_xlfn.MAXIFS(Cronograma!$H$4:$H$55,Cronograma!$O$4:$O$55,A7)</f>
        <v>46365</v>
      </c>
    </row>
    <row r="8" customFormat="false" ht="18" hidden="false" customHeight="true" outlineLevel="0" collapsed="false">
      <c r="A8" s="45" t="s">
        <v>477</v>
      </c>
      <c r="B8" s="48" t="s">
        <v>547</v>
      </c>
      <c r="C8" s="47" t="n">
        <f aca="false">_xlfn.MINIFS(Cronograma!$G$4:$G$55,Cronograma!$O$4:$O$55,A8)</f>
        <v>46346</v>
      </c>
      <c r="D8" s="47" t="n">
        <f aca="false">_xlfn.MAXIFS(Cronograma!$H$4:$H$55,Cronograma!$O$4:$O$55,A8)</f>
        <v>46395</v>
      </c>
    </row>
    <row r="9" customFormat="false" ht="18" hidden="false" customHeight="true" outlineLevel="0" collapsed="false">
      <c r="A9" s="45" t="s">
        <v>478</v>
      </c>
      <c r="B9" s="48" t="s">
        <v>548</v>
      </c>
      <c r="C9" s="47" t="n">
        <f aca="false">_xlfn.MINIFS(Cronograma!$G$4:$G$55,Cronograma!$O$4:$O$55,A9)</f>
        <v>46370</v>
      </c>
      <c r="D9" s="47" t="n">
        <f aca="false">_xlfn.MAXIFS(Cronograma!$H$4:$H$55,Cronograma!$O$4:$O$55,A9)</f>
        <v>46450</v>
      </c>
    </row>
    <row r="10" customFormat="false" ht="18" hidden="false" customHeight="true" outlineLevel="0" collapsed="false">
      <c r="A10" s="45" t="s">
        <v>479</v>
      </c>
      <c r="B10" s="48" t="s">
        <v>549</v>
      </c>
      <c r="C10" s="47" t="n">
        <f aca="false">_xlfn.MINIFS(Cronograma!$G$4:$G$55,Cronograma!$O$4:$O$55,A10)</f>
        <v>46398</v>
      </c>
      <c r="D10" s="47" t="n">
        <f aca="false">_xlfn.MAXIFS(Cronograma!$H$4:$H$55,Cronograma!$O$4:$O$55,A10)</f>
        <v>46434</v>
      </c>
    </row>
    <row r="11" customFormat="false" ht="18" hidden="false" customHeight="true" outlineLevel="0" collapsed="false">
      <c r="A11" s="45" t="s">
        <v>480</v>
      </c>
      <c r="B11" s="48" t="s">
        <v>550</v>
      </c>
      <c r="C11" s="47" t="n">
        <f aca="false">_xlfn.MINIFS(Cronograma!$G$4:$G$55,Cronograma!$O$4:$O$55,A11)</f>
        <v>46398</v>
      </c>
      <c r="D11" s="47" t="n">
        <f aca="false">_xlfn.MAXIFS(Cronograma!$H$4:$H$55,Cronograma!$O$4:$O$55,A11)</f>
        <v>46475</v>
      </c>
    </row>
    <row r="12" customFormat="false" ht="18" hidden="false" customHeight="true" outlineLevel="0" collapsed="false">
      <c r="A12" s="45" t="s">
        <v>481</v>
      </c>
      <c r="B12" s="48" t="s">
        <v>551</v>
      </c>
      <c r="C12" s="47" t="n">
        <f aca="false">_xlfn.MINIFS(Cronograma!$G$4:$G$55,Cronograma!$O$4:$O$55,A12)</f>
        <v>46338</v>
      </c>
      <c r="D12" s="47" t="n">
        <f aca="false">_xlfn.MAXIFS(Cronograma!$H$4:$H$55,Cronograma!$O$4:$O$55,A12)</f>
        <v>46499</v>
      </c>
    </row>
    <row r="13" customFormat="false" ht="18" hidden="false" customHeight="true" outlineLevel="0" collapsed="false">
      <c r="A13" s="45" t="s">
        <v>482</v>
      </c>
      <c r="B13" s="48" t="s">
        <v>552</v>
      </c>
      <c r="C13" s="47" t="n">
        <f aca="false">_xlfn.MINIFS(Cronograma!$G$4:$G$55,Cronograma!$O$4:$O$55,A13)</f>
        <v>46398</v>
      </c>
      <c r="D13" s="47" t="n">
        <f aca="false">_xlfn.MAXIFS(Cronograma!$H$4:$H$55,Cronograma!$O$4:$O$55,A13)</f>
        <v>46574</v>
      </c>
    </row>
    <row r="14" customFormat="false" ht="18" hidden="false" customHeight="true" outlineLevel="0" collapsed="false">
      <c r="A14" s="45" t="s">
        <v>483</v>
      </c>
      <c r="B14" s="48" t="s">
        <v>553</v>
      </c>
      <c r="C14" s="47" t="n">
        <f aca="false">_xlfn.MINIFS(Cronograma!$G$4:$G$55,Cronograma!$O$4:$O$55,A14)</f>
        <v>46503</v>
      </c>
      <c r="D14" s="47" t="n">
        <f aca="false">_xlfn.MAXIFS(Cronograma!$H$4:$H$55,Cronograma!$O$4:$O$55,A14)</f>
        <v>46518</v>
      </c>
    </row>
    <row r="15" customFormat="false" ht="18" hidden="false" customHeight="true" outlineLevel="0" collapsed="false">
      <c r="A15" s="45" t="s">
        <v>49</v>
      </c>
      <c r="B15" s="49" t="s">
        <v>554</v>
      </c>
      <c r="C15" s="47" t="n">
        <f aca="false">Cronograma!H5</f>
        <v>46303</v>
      </c>
      <c r="D15" s="47" t="n">
        <f aca="false">Cronograma!H5</f>
        <v>46303</v>
      </c>
    </row>
    <row r="16" customFormat="false" ht="18" hidden="false" customHeight="true" outlineLevel="0" collapsed="false">
      <c r="A16" s="45" t="s">
        <v>104</v>
      </c>
      <c r="B16" s="49" t="s">
        <v>555</v>
      </c>
      <c r="C16" s="47" t="n">
        <f aca="false">Cronograma!H15</f>
        <v>46337</v>
      </c>
      <c r="D16" s="47" t="n">
        <f aca="false">Cronograma!H15</f>
        <v>46337</v>
      </c>
    </row>
    <row r="17" customFormat="false" ht="18" hidden="false" customHeight="true" outlineLevel="0" collapsed="false">
      <c r="A17" s="45" t="s">
        <v>130</v>
      </c>
      <c r="B17" s="49" t="s">
        <v>556</v>
      </c>
      <c r="C17" s="47" t="n">
        <f aca="false">Cronograma!H19</f>
        <v>46365</v>
      </c>
      <c r="D17" s="47" t="n">
        <f aca="false">Cronograma!H19</f>
        <v>46365</v>
      </c>
    </row>
    <row r="18" customFormat="false" ht="18" hidden="false" customHeight="true" outlineLevel="0" collapsed="false">
      <c r="A18" s="45" t="s">
        <v>155</v>
      </c>
      <c r="B18" s="49" t="s">
        <v>557</v>
      </c>
      <c r="C18" s="47" t="n">
        <f aca="false">Cronograma!H23</f>
        <v>46395</v>
      </c>
      <c r="D18" s="47" t="n">
        <f aca="false">Cronograma!H23</f>
        <v>46395</v>
      </c>
    </row>
    <row r="19" customFormat="false" ht="18" hidden="false" customHeight="true" outlineLevel="0" collapsed="false">
      <c r="A19" s="45" t="s">
        <v>247</v>
      </c>
      <c r="B19" s="49" t="s">
        <v>558</v>
      </c>
      <c r="C19" s="47" t="n">
        <f aca="false">Cronograma!H39</f>
        <v>46455</v>
      </c>
      <c r="D19" s="47" t="n">
        <f aca="false">Cronograma!H39</f>
        <v>46455</v>
      </c>
    </row>
    <row r="20" customFormat="false" ht="18" hidden="false" customHeight="true" outlineLevel="0" collapsed="false">
      <c r="A20" s="45" t="s">
        <v>291</v>
      </c>
      <c r="B20" s="49" t="s">
        <v>559</v>
      </c>
      <c r="C20" s="47" t="n">
        <f aca="false">Cronograma!H47</f>
        <v>46461</v>
      </c>
      <c r="D20" s="47" t="n">
        <f aca="false">Cronograma!H47</f>
        <v>46461</v>
      </c>
    </row>
    <row r="21" customFormat="false" ht="18" hidden="false" customHeight="true" outlineLevel="0" collapsed="false">
      <c r="A21" s="45" t="s">
        <v>268</v>
      </c>
      <c r="B21" s="49" t="s">
        <v>560</v>
      </c>
      <c r="C21" s="47" t="n">
        <f aca="false">Cronograma!H43</f>
        <v>46499</v>
      </c>
      <c r="D21" s="47" t="n">
        <f aca="false">Cronograma!H43</f>
        <v>46499</v>
      </c>
    </row>
    <row r="22" customFormat="false" ht="18" hidden="false" customHeight="true" outlineLevel="0" collapsed="false">
      <c r="A22" s="45" t="s">
        <v>311</v>
      </c>
      <c r="B22" s="49" t="s">
        <v>561</v>
      </c>
      <c r="C22" s="47" t="n">
        <f aca="false">Cronograma!H51</f>
        <v>46500</v>
      </c>
      <c r="D22" s="47" t="n">
        <f aca="false">Cronograma!H51</f>
        <v>46500</v>
      </c>
    </row>
    <row r="23" customFormat="false" ht="18" hidden="false" customHeight="true" outlineLevel="0" collapsed="false">
      <c r="A23" s="45" t="s">
        <v>329</v>
      </c>
      <c r="B23" s="49" t="s">
        <v>562</v>
      </c>
      <c r="C23" s="47" t="n">
        <f aca="false">Cronograma!H54</f>
        <v>46574</v>
      </c>
      <c r="D23" s="47" t="n">
        <f aca="false">Cronograma!H54</f>
        <v>46574</v>
      </c>
    </row>
    <row r="24" customFormat="false" ht="18" hidden="false" customHeight="true" outlineLevel="0" collapsed="false">
      <c r="A24" s="45" t="s">
        <v>71</v>
      </c>
      <c r="B24" s="49" t="s">
        <v>563</v>
      </c>
      <c r="C24" s="47" t="n">
        <f aca="false">Cronograma!H9</f>
        <v>46580</v>
      </c>
      <c r="D24" s="47" t="n">
        <f aca="false">Cronograma!H9</f>
        <v>46580</v>
      </c>
    </row>
    <row r="26" customFormat="false" ht="15" hidden="false" customHeight="false" outlineLevel="0" collapsed="false">
      <c r="B26" s="41" t="s">
        <v>564</v>
      </c>
    </row>
  </sheetData>
  <mergeCells count="1">
    <mergeCell ref="A1:AZ1"/>
  </mergeCells>
  <conditionalFormatting sqref="E4:AW24">
    <cfRule type="expression" priority="2" aboveAverage="0" equalAverage="0" bottom="0" percent="0" rank="0" text="" dxfId="0">
      <formula>AND(LEFT($A4,1)="H",E$3&lt;=$C4,E$3+6&gt;=$C4)</formula>
    </cfRule>
    <cfRule type="expression" priority="3" aboveAverage="0" equalAverage="0" bottom="0" percent="0" rank="0" text="" dxfId="3">
      <formula>AND(E$3&lt;=$D$2+0,E$3+6&gt;=$D$2+0)</formula>
    </cfRule>
    <cfRule type="expression" priority="4" aboveAverage="0" equalAverage="0" bottom="0" percent="0" rank="0" text="" dxfId="5">
      <formula>AND(LEFT($A4,1)&lt;&gt;"H",E$3&lt;=$D4,E$3+6&gt;=$C4)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2026-09-27T20:54:08Z</dcterms:created>
  <dc:creator>openpyxl</dc:creator>
  <dc:description/>
  <dc:language>en-US</dc:language>
  <cp:lastModifiedBy>cesar galindo</cp:lastModifiedBy>
  <dcterms:modified xsi:type="dcterms:W3CDTF">2026-09-27T20:54:09Z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